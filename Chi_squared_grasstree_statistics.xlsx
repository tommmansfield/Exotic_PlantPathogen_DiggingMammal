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i\PhD_Stats\Dig_veg_stats\"/>
    </mc:Choice>
  </mc:AlternateContent>
  <xr:revisionPtr revIDLastSave="0" documentId="13_ncr:1_{652AC9E9-9ED7-4A19-926E-FBE6622D7DD8}" xr6:coauthVersionLast="47" xr6:coauthVersionMax="47" xr10:uidLastSave="{00000000-0000-0000-0000-000000000000}"/>
  <bookViews>
    <workbookView xWindow="-120" yWindow="-120" windowWidth="29040" windowHeight="15720" xr2:uid="{C363090B-1DB6-4D6D-80A3-7742D0D49975}"/>
  </bookViews>
  <sheets>
    <sheet name="Chi-squared" sheetId="1" r:id="rId1"/>
    <sheet name="Tunnels_data" sheetId="2" r:id="rId2"/>
    <sheet name="Grasstree_data" sheetId="3" r:id="rId3"/>
    <sheet name="Gt_ggplot" sheetId="6" r:id="rId4"/>
  </sheets>
  <definedNames>
    <definedName name="_xlnm._FilterDatabase" localSheetId="2" hidden="1">Grasstree_data!$A$1:$J$1951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9" i="1" l="1"/>
  <c r="R4" i="1"/>
  <c r="Q4" i="1"/>
  <c r="AF6" i="1"/>
  <c r="AF7" i="1"/>
  <c r="AF8" i="1"/>
  <c r="AD9" i="1"/>
  <c r="M5" i="1"/>
  <c r="L5" i="1"/>
  <c r="AD7" i="1"/>
  <c r="AD8" i="1"/>
  <c r="AD6" i="1"/>
  <c r="AB7" i="1"/>
  <c r="AB8" i="1"/>
  <c r="AB6" i="1"/>
  <c r="AA9" i="1"/>
  <c r="Z8" i="1"/>
  <c r="Z7" i="1"/>
  <c r="Z6" i="1"/>
  <c r="I6" i="1"/>
  <c r="I5" i="1"/>
  <c r="F5" i="1"/>
  <c r="J6" i="1"/>
  <c r="G6" i="1"/>
  <c r="F6" i="1"/>
  <c r="D42" i="1"/>
  <c r="D43" i="1"/>
  <c r="D44" i="1"/>
  <c r="D45" i="1"/>
  <c r="D46" i="1"/>
  <c r="D47" i="1"/>
  <c r="D48" i="1"/>
  <c r="D49" i="1"/>
  <c r="D50" i="1"/>
  <c r="D41" i="1"/>
  <c r="C35" i="1"/>
  <c r="B35" i="1"/>
  <c r="D34" i="1"/>
  <c r="D33" i="1"/>
  <c r="D32" i="1"/>
  <c r="D31" i="1"/>
  <c r="D30" i="1"/>
  <c r="D29" i="1"/>
  <c r="D28" i="1"/>
  <c r="D27" i="1"/>
  <c r="D26" i="1"/>
  <c r="D25" i="1"/>
  <c r="D35" i="1" s="1"/>
  <c r="CD25" i="3"/>
  <c r="CD26" i="3"/>
  <c r="CF26" i="3" s="1"/>
  <c r="CD27" i="3"/>
  <c r="CD28" i="3"/>
  <c r="CD29" i="3"/>
  <c r="CD30" i="3"/>
  <c r="CD31" i="3"/>
  <c r="CD32" i="3"/>
  <c r="CD33" i="3"/>
  <c r="CD35" i="3"/>
  <c r="CD36" i="3"/>
  <c r="CF36" i="3" s="1"/>
  <c r="CD37" i="3"/>
  <c r="CD38" i="3"/>
  <c r="CD39" i="3"/>
  <c r="CD40" i="3"/>
  <c r="CD41" i="3"/>
  <c r="CD42" i="3"/>
  <c r="CD43" i="3"/>
  <c r="CD44" i="3"/>
  <c r="CD24" i="3"/>
  <c r="CE25" i="3"/>
  <c r="CF25" i="3" s="1"/>
  <c r="CE26" i="3"/>
  <c r="CE27" i="3"/>
  <c r="CE28" i="3"/>
  <c r="CE29" i="3"/>
  <c r="CE30" i="3"/>
  <c r="CF30" i="3" s="1"/>
  <c r="CE31" i="3"/>
  <c r="CE32" i="3"/>
  <c r="CF32" i="3" s="1"/>
  <c r="CH32" i="3" s="1"/>
  <c r="CE33" i="3"/>
  <c r="CE35" i="3"/>
  <c r="CE36" i="3"/>
  <c r="CE37" i="3"/>
  <c r="CE38" i="3"/>
  <c r="CE39" i="3"/>
  <c r="CE40" i="3"/>
  <c r="CE41" i="3"/>
  <c r="CE42" i="3"/>
  <c r="CF42" i="3" s="1"/>
  <c r="CE43" i="3"/>
  <c r="CE44" i="3"/>
  <c r="CE24" i="3"/>
  <c r="CB25" i="3"/>
  <c r="CB26" i="3"/>
  <c r="CB27" i="3"/>
  <c r="CB28" i="3"/>
  <c r="CB29" i="3"/>
  <c r="CB30" i="3"/>
  <c r="CB31" i="3"/>
  <c r="CB32" i="3"/>
  <c r="CB33" i="3"/>
  <c r="CB35" i="3"/>
  <c r="CB36" i="3"/>
  <c r="CB37" i="3"/>
  <c r="CB38" i="3"/>
  <c r="CB39" i="3"/>
  <c r="CB40" i="3"/>
  <c r="CB41" i="3"/>
  <c r="CB42" i="3"/>
  <c r="CB43" i="3"/>
  <c r="CB44" i="3"/>
  <c r="CB24" i="3"/>
  <c r="CH36" i="3" l="1"/>
  <c r="CF28" i="3"/>
  <c r="CH28" i="3" s="1"/>
  <c r="CF40" i="3"/>
  <c r="CH40" i="3" s="1"/>
  <c r="CG36" i="3"/>
  <c r="CG32" i="3"/>
  <c r="CF41" i="3"/>
  <c r="CH41" i="3" s="1"/>
  <c r="CF37" i="3"/>
  <c r="CG37" i="3" s="1"/>
  <c r="CG30" i="3"/>
  <c r="CF39" i="3"/>
  <c r="CG39" i="3" s="1"/>
  <c r="CF35" i="3"/>
  <c r="CG35" i="3" s="1"/>
  <c r="CG28" i="3"/>
  <c r="CF24" i="3"/>
  <c r="CH24" i="3" s="1"/>
  <c r="CF44" i="3"/>
  <c r="CH44" i="3" s="1"/>
  <c r="CF31" i="3"/>
  <c r="CH31" i="3" s="1"/>
  <c r="CF43" i="3"/>
  <c r="CH43" i="3" s="1"/>
  <c r="CG26" i="3"/>
  <c r="CF33" i="3"/>
  <c r="CH33" i="3" s="1"/>
  <c r="CF29" i="3"/>
  <c r="CG29" i="3" s="1"/>
  <c r="CF27" i="3"/>
  <c r="CH27" i="3" s="1"/>
  <c r="CF38" i="3"/>
  <c r="CH38" i="3" s="1"/>
  <c r="F29" i="1"/>
  <c r="F30" i="1"/>
  <c r="F31" i="1"/>
  <c r="F32" i="1"/>
  <c r="F26" i="1"/>
  <c r="I26" i="1" s="1"/>
  <c r="G30" i="1"/>
  <c r="G34" i="1"/>
  <c r="G27" i="1"/>
  <c r="G31" i="1"/>
  <c r="F25" i="1"/>
  <c r="I25" i="1" s="1"/>
  <c r="F33" i="1"/>
  <c r="G26" i="1"/>
  <c r="F34" i="1"/>
  <c r="F27" i="1"/>
  <c r="F28" i="1"/>
  <c r="G25" i="1"/>
  <c r="G33" i="1"/>
  <c r="G29" i="1"/>
  <c r="G32" i="1"/>
  <c r="G28" i="1"/>
  <c r="CG40" i="3"/>
  <c r="CG42" i="3"/>
  <c r="CG33" i="3"/>
  <c r="CG25" i="3"/>
  <c r="CH30" i="3"/>
  <c r="CH26" i="3"/>
  <c r="CH42" i="3"/>
  <c r="CH25" i="3"/>
  <c r="CG24" i="3" l="1"/>
  <c r="CG38" i="3"/>
  <c r="CH29" i="3"/>
  <c r="CG27" i="3"/>
  <c r="CH35" i="3"/>
  <c r="CH39" i="3"/>
  <c r="CG43" i="3"/>
  <c r="CG44" i="3"/>
  <c r="CG31" i="3"/>
  <c r="CH37" i="3"/>
  <c r="CG41" i="3"/>
  <c r="L34" i="2"/>
  <c r="L30" i="2"/>
  <c r="B16" i="1"/>
  <c r="C16" i="1"/>
  <c r="D16" i="1"/>
  <c r="D15" i="1"/>
  <c r="G15" i="1" s="1"/>
  <c r="J15" i="1" s="1"/>
  <c r="D14" i="1"/>
  <c r="G14" i="1" s="1"/>
  <c r="J14" i="1" s="1"/>
  <c r="D5" i="1"/>
  <c r="D6" i="1"/>
  <c r="B7" i="1"/>
  <c r="D7" i="1" s="1"/>
  <c r="C7" i="1"/>
  <c r="R36" i="2"/>
  <c r="R35" i="2"/>
  <c r="Q36" i="2"/>
  <c r="Q35" i="2"/>
  <c r="M36" i="2"/>
  <c r="M35" i="2"/>
  <c r="R33" i="2"/>
  <c r="Q33" i="2"/>
  <c r="R32" i="2"/>
  <c r="R34" i="2" s="1"/>
  <c r="Q32" i="2"/>
  <c r="Q34" i="2" s="1"/>
  <c r="R30" i="2"/>
  <c r="Q30" i="2"/>
  <c r="M34" i="2"/>
  <c r="M33" i="2"/>
  <c r="L33" i="2"/>
  <c r="M32" i="2"/>
  <c r="L32" i="2"/>
  <c r="F14" i="1" l="1"/>
  <c r="I14" i="1" s="1"/>
  <c r="L14" i="1" s="1"/>
  <c r="M14" i="1" s="1"/>
  <c r="F15" i="1"/>
  <c r="I15" i="1" s="1"/>
  <c r="L15" i="1" s="1"/>
  <c r="M15" i="1" s="1"/>
  <c r="J30" i="1"/>
  <c r="I30" i="1"/>
  <c r="J31" i="1"/>
  <c r="I31" i="1"/>
  <c r="J25" i="1"/>
  <c r="J34" i="1"/>
  <c r="I32" i="1"/>
  <c r="I34" i="1"/>
  <c r="I27" i="1"/>
  <c r="J26" i="1"/>
  <c r="J27" i="1"/>
  <c r="J28" i="1"/>
  <c r="J32" i="1"/>
  <c r="I28" i="1"/>
  <c r="L28" i="1" s="1"/>
  <c r="M28" i="1" s="1"/>
  <c r="J33" i="1"/>
  <c r="J29" i="1"/>
  <c r="I33" i="1"/>
  <c r="I29" i="1"/>
  <c r="L36" i="2"/>
  <c r="L35" i="2"/>
  <c r="G5" i="1"/>
  <c r="J5" i="1" s="1"/>
  <c r="Q13" i="1" l="1"/>
  <c r="R13" i="1" s="1"/>
  <c r="L32" i="1"/>
  <c r="M32" i="1" s="1"/>
  <c r="L33" i="1"/>
  <c r="M33" i="1" s="1"/>
  <c r="L30" i="1"/>
  <c r="M30" i="1" s="1"/>
  <c r="L25" i="1"/>
  <c r="L31" i="1"/>
  <c r="M31" i="1" s="1"/>
  <c r="L29" i="1"/>
  <c r="M29" i="1" s="1"/>
  <c r="L27" i="1"/>
  <c r="M27" i="1" s="1"/>
  <c r="L26" i="1"/>
  <c r="M26" i="1" s="1"/>
  <c r="L34" i="1"/>
  <c r="M34" i="1" s="1"/>
  <c r="L6" i="1"/>
  <c r="M6" i="1" s="1"/>
  <c r="M25" i="1" l="1"/>
  <c r="Q24" i="1"/>
  <c r="R24" i="1" s="1"/>
  <c r="L23" i="2"/>
  <c r="Q21" i="2"/>
  <c r="L21" i="2"/>
  <c r="M20" i="2"/>
  <c r="R19" i="2"/>
  <c r="M19" i="2"/>
  <c r="R18" i="2"/>
  <c r="M18" i="2"/>
  <c r="R17" i="2"/>
  <c r="M17" i="2"/>
  <c r="R16" i="2"/>
  <c r="M16" i="2"/>
  <c r="R15" i="2"/>
  <c r="M15" i="2"/>
  <c r="R14" i="2"/>
  <c r="M14" i="2"/>
  <c r="R13" i="2"/>
  <c r="M13" i="2"/>
  <c r="R11" i="2"/>
  <c r="M12" i="2"/>
  <c r="R10" i="2"/>
  <c r="M11" i="2"/>
  <c r="R9" i="2"/>
  <c r="M10" i="2"/>
  <c r="R8" i="2"/>
  <c r="M9" i="2"/>
  <c r="M23" i="2" s="1"/>
  <c r="M8" i="2"/>
  <c r="R7" i="2"/>
  <c r="M7" i="2"/>
  <c r="R6" i="2"/>
  <c r="M6" i="2"/>
  <c r="R5" i="2"/>
  <c r="M5" i="2"/>
  <c r="R4" i="2"/>
  <c r="M4" i="2"/>
  <c r="R3" i="2"/>
  <c r="M3" i="2"/>
  <c r="R2" i="2"/>
  <c r="M2" i="2"/>
  <c r="M30" i="2" l="1"/>
  <c r="M21" i="2"/>
  <c r="R21" i="2"/>
</calcChain>
</file>

<file path=xl/sharedStrings.xml><?xml version="1.0" encoding="utf-8"?>
<sst xmlns="http://schemas.openxmlformats.org/spreadsheetml/2006/main" count="11715" uniqueCount="177">
  <si>
    <t>Tunnels</t>
  </si>
  <si>
    <t>No tunnels</t>
  </si>
  <si>
    <t>Healthy</t>
  </si>
  <si>
    <t>Infested</t>
  </si>
  <si>
    <t>OBSERVED</t>
  </si>
  <si>
    <t>EXPECTED</t>
  </si>
  <si>
    <t>CHI-SQUARED</t>
  </si>
  <si>
    <t>CHI</t>
  </si>
  <si>
    <t>p</t>
  </si>
  <si>
    <t>Quenda tunnels in grasstrees</t>
  </si>
  <si>
    <t>tot:</t>
  </si>
  <si>
    <t>transects</t>
  </si>
  <si>
    <t>minus f10, s8</t>
  </si>
  <si>
    <t>minus f9, s7</t>
  </si>
  <si>
    <t>excluded: f10, s8</t>
  </si>
  <si>
    <t>p &lt; 0.05</t>
  </si>
  <si>
    <t>*</t>
  </si>
  <si>
    <t>p &lt; 0.01</t>
  </si>
  <si>
    <t>**</t>
  </si>
  <si>
    <t>Grasstree demographics</t>
  </si>
  <si>
    <t>site</t>
  </si>
  <si>
    <t>transect</t>
  </si>
  <si>
    <t>zone</t>
  </si>
  <si>
    <t>sample.id</t>
  </si>
  <si>
    <t>height</t>
  </si>
  <si>
    <t>skirt.gap</t>
  </si>
  <si>
    <t>skirt.length</t>
  </si>
  <si>
    <t>skirt.density</t>
  </si>
  <si>
    <t>habitable</t>
  </si>
  <si>
    <t>superblock</t>
  </si>
  <si>
    <t>infested</t>
  </si>
  <si>
    <t>s1</t>
  </si>
  <si>
    <t>No</t>
  </si>
  <si>
    <t>Yes</t>
  </si>
  <si>
    <t>uninfested</t>
  </si>
  <si>
    <t>s2</t>
  </si>
  <si>
    <t>s3</t>
  </si>
  <si>
    <t>s4</t>
  </si>
  <si>
    <t>s5</t>
  </si>
  <si>
    <t>s6</t>
  </si>
  <si>
    <t>s7</t>
  </si>
  <si>
    <t>s8</t>
  </si>
  <si>
    <t>falls</t>
  </si>
  <si>
    <t>f1</t>
  </si>
  <si>
    <t>f2</t>
  </si>
  <si>
    <t>f3</t>
  </si>
  <si>
    <t>f4</t>
  </si>
  <si>
    <t>f9</t>
  </si>
  <si>
    <t>f10</t>
  </si>
  <si>
    <t>f5</t>
  </si>
  <si>
    <t>f6</t>
  </si>
  <si>
    <t>f7</t>
  </si>
  <si>
    <t>Falls</t>
  </si>
  <si>
    <t>f8</t>
  </si>
  <si>
    <t>quail</t>
  </si>
  <si>
    <t>q1</t>
  </si>
  <si>
    <t>q2</t>
  </si>
  <si>
    <t>q3</t>
  </si>
  <si>
    <t>q4</t>
  </si>
  <si>
    <t>q5</t>
  </si>
  <si>
    <t>q6</t>
  </si>
  <si>
    <t>q7</t>
  </si>
  <si>
    <t>q8</t>
  </si>
  <si>
    <t>alps</t>
  </si>
  <si>
    <t>a5</t>
  </si>
  <si>
    <t>a6</t>
  </si>
  <si>
    <t>a1</t>
  </si>
  <si>
    <t>a2</t>
  </si>
  <si>
    <t>Alps</t>
  </si>
  <si>
    <t>a7</t>
  </si>
  <si>
    <t>a8</t>
  </si>
  <si>
    <t>cockatoo</t>
  </si>
  <si>
    <t>c5</t>
  </si>
  <si>
    <t>c6</t>
  </si>
  <si>
    <t>c3</t>
  </si>
  <si>
    <t>c4</t>
  </si>
  <si>
    <t>c7</t>
  </si>
  <si>
    <t>c8</t>
  </si>
  <si>
    <t>ID</t>
  </si>
  <si>
    <t>Site</t>
  </si>
  <si>
    <t>Transect</t>
  </si>
  <si>
    <t>Zone</t>
  </si>
  <si>
    <t>Quenda.tunnels</t>
  </si>
  <si>
    <t>Uninfested</t>
  </si>
  <si>
    <t>06/004/2022</t>
  </si>
  <si>
    <t>c1</t>
  </si>
  <si>
    <t>Cockatoo</t>
  </si>
  <si>
    <t>NA</t>
  </si>
  <si>
    <t>c2</t>
  </si>
  <si>
    <t>Quail</t>
  </si>
  <si>
    <t>Superblock</t>
  </si>
  <si>
    <t>nests</t>
  </si>
  <si>
    <t>no nests</t>
  </si>
  <si>
    <t>total:</t>
  </si>
  <si>
    <t>total (-f9,s7)</t>
  </si>
  <si>
    <t>Apical meristem height cm</t>
  </si>
  <si>
    <t>Bins</t>
  </si>
  <si>
    <t>21-30</t>
  </si>
  <si>
    <t>31-40</t>
  </si>
  <si>
    <t>41-50</t>
  </si>
  <si>
    <t>51-75</t>
  </si>
  <si>
    <t>76-100</t>
  </si>
  <si>
    <t>101-150</t>
  </si>
  <si>
    <t>151+</t>
  </si>
  <si>
    <t>Height Class (cm)</t>
  </si>
  <si>
    <t>*removed q4 (na)</t>
  </si>
  <si>
    <t>*removed q6 for balanced samples</t>
  </si>
  <si>
    <t>*removed q3 (na)</t>
  </si>
  <si>
    <t>*removed q5 (na)</t>
  </si>
  <si>
    <t>Using histogram data analysis:</t>
  </si>
  <si>
    <t>minus q4,q6</t>
  </si>
  <si>
    <t>minus q3,q5</t>
  </si>
  <si>
    <t>X2(df, n)</t>
  </si>
  <si>
    <t>chi-stat</t>
  </si>
  <si>
    <t>X2(1, 772)</t>
  </si>
  <si>
    <t>X2(1, 722)</t>
  </si>
  <si>
    <t>X2(10, 1948)</t>
  </si>
  <si>
    <t>CI</t>
  </si>
  <si>
    <t>Means</t>
  </si>
  <si>
    <t>95% CI</t>
  </si>
  <si>
    <t>sig lvl</t>
  </si>
  <si>
    <t>stdev.p</t>
  </si>
  <si>
    <t>sample</t>
  </si>
  <si>
    <t>Data for ggplot:</t>
  </si>
  <si>
    <t>Tunnel</t>
  </si>
  <si>
    <t>Unused</t>
  </si>
  <si>
    <t>Mean</t>
  </si>
  <si>
    <t>Skirt_Use</t>
  </si>
  <si>
    <t>upper</t>
  </si>
  <si>
    <t>lower</t>
  </si>
  <si>
    <t>Upper</t>
  </si>
  <si>
    <t>Lower</t>
  </si>
  <si>
    <t>used</t>
  </si>
  <si>
    <t>unused</t>
  </si>
  <si>
    <t>Question: Do tunnel amounts change with zone?</t>
  </si>
  <si>
    <t>Question: Do grass tree demographics change with zone?</t>
  </si>
  <si>
    <t>Total Count</t>
  </si>
  <si>
    <t>n/s</t>
  </si>
  <si>
    <t>Height_Class</t>
  </si>
  <si>
    <t>21_30</t>
  </si>
  <si>
    <t>31_40</t>
  </si>
  <si>
    <t>41_50</t>
  </si>
  <si>
    <t>51_75</t>
  </si>
  <si>
    <t>76_100</t>
  </si>
  <si>
    <t>100_150</t>
  </si>
  <si>
    <t>Row Labels</t>
  </si>
  <si>
    <t>Grand Total</t>
  </si>
  <si>
    <t>Count of height</t>
  </si>
  <si>
    <t>1_9</t>
  </si>
  <si>
    <t>10_20</t>
  </si>
  <si>
    <t>1-9</t>
  </si>
  <si>
    <t>10-20</t>
  </si>
  <si>
    <t>Column Labels</t>
  </si>
  <si>
    <t>Grass tree Counts in height classes</t>
  </si>
  <si>
    <t>mean</t>
  </si>
  <si>
    <t>stdevp</t>
  </si>
  <si>
    <t>samp</t>
  </si>
  <si>
    <t>Mean_Count</t>
  </si>
  <si>
    <t>HEALTHY</t>
  </si>
  <si>
    <t>INFESTED</t>
  </si>
  <si>
    <t>GGPLOT DATA</t>
  </si>
  <si>
    <t>101_150</t>
  </si>
  <si>
    <t>Habitable</t>
  </si>
  <si>
    <t>Uninhabitable</t>
  </si>
  <si>
    <t>Height class</t>
  </si>
  <si>
    <t>This is what we want, since the transects are now balanced</t>
  </si>
  <si>
    <t>% more in healthy</t>
  </si>
  <si>
    <t>NEED EQUAL SAMPLING</t>
  </si>
  <si>
    <t>Can'T use because unequal sampling</t>
  </si>
  <si>
    <t>Habitat type</t>
  </si>
  <si>
    <t>Pc</t>
  </si>
  <si>
    <t>Peri-urban</t>
  </si>
  <si>
    <t>Observed</t>
  </si>
  <si>
    <t>Expected</t>
  </si>
  <si>
    <t>Hypothesised proportion</t>
  </si>
  <si>
    <t>Chi-stat:</t>
  </si>
  <si>
    <t>p-val: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</si>
</sst>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0" fillId="2" borderId="0" xfId="0" applyFill="1"/>
    <xf numFmtId="0" fontId="1" fillId="0" borderId="0" xfId="0" applyFont="1"/>
    <xf numFmtId="0" fontId="3" fillId="0" borderId="0" xfId="0" applyFont="1"/>
    <xf numFmtId="0" fontId="3" fillId="2" borderId="0" xfId="0" applyFont="1" applyFill="1" applyAlignment="1">
      <alignment horizontal="center"/>
    </xf>
    <xf numFmtId="164" fontId="0" fillId="0" borderId="0" xfId="0" applyNumberFormat="1"/>
    <xf numFmtId="0" fontId="2" fillId="2" borderId="0" xfId="0" applyFont="1" applyFill="1"/>
    <xf numFmtId="0" fontId="0" fillId="0" borderId="1" xfId="0" applyBorder="1"/>
    <xf numFmtId="0" fontId="0" fillId="0" borderId="2" xfId="0" applyBorder="1"/>
    <xf numFmtId="49" fontId="0" fillId="0" borderId="1" xfId="0" applyNumberFormat="1" applyBorder="1"/>
    <xf numFmtId="49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14" fontId="0" fillId="2" borderId="0" xfId="0" applyNumberFormat="1" applyFill="1"/>
    <xf numFmtId="0" fontId="4" fillId="0" borderId="0" xfId="0" applyFont="1"/>
    <xf numFmtId="0" fontId="2" fillId="0" borderId="0" xfId="0" applyFont="1" applyAlignment="1">
      <alignment horizontal="right"/>
    </xf>
    <xf numFmtId="0" fontId="5" fillId="2" borderId="0" xfId="0" applyFont="1" applyFill="1"/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6" xfId="0" applyFont="1" applyBorder="1"/>
    <xf numFmtId="0" fontId="0" fillId="2" borderId="6" xfId="0" applyFill="1" applyBorder="1"/>
    <xf numFmtId="0" fontId="3" fillId="0" borderId="1" xfId="0" applyFont="1" applyBorder="1"/>
    <xf numFmtId="0" fontId="0" fillId="0" borderId="8" xfId="0" applyBorder="1"/>
    <xf numFmtId="0" fontId="8" fillId="0" borderId="0" xfId="0" applyFont="1"/>
    <xf numFmtId="16" fontId="0" fillId="0" borderId="0" xfId="0" applyNumberFormat="1"/>
    <xf numFmtId="0" fontId="0" fillId="2" borderId="2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3" borderId="9" xfId="0" applyFont="1" applyFill="1" applyBorder="1"/>
    <xf numFmtId="0" fontId="2" fillId="0" borderId="9" xfId="0" applyFont="1" applyBorder="1" applyAlignment="1">
      <alignment horizontal="left"/>
    </xf>
    <xf numFmtId="0" fontId="2" fillId="0" borderId="9" xfId="0" applyFont="1" applyBorder="1"/>
    <xf numFmtId="0" fontId="10" fillId="0" borderId="0" xfId="0" applyFont="1"/>
    <xf numFmtId="0" fontId="0" fillId="4" borderId="0" xfId="0" applyFill="1"/>
    <xf numFmtId="0" fontId="1" fillId="4" borderId="0" xfId="0" applyFont="1" applyFill="1"/>
    <xf numFmtId="0" fontId="10" fillId="4" borderId="0" xfId="0" applyFont="1" applyFill="1"/>
    <xf numFmtId="0" fontId="2" fillId="5" borderId="0" xfId="0" applyFont="1" applyFill="1"/>
    <xf numFmtId="0" fontId="1" fillId="6" borderId="0" xfId="0" applyFont="1" applyFill="1"/>
    <xf numFmtId="0" fontId="10" fillId="6" borderId="0" xfId="0" applyFont="1" applyFill="1"/>
    <xf numFmtId="0" fontId="0" fillId="6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(Tunnels_data!$L$34:$M$34,Tunnels_data!$Q$34:$R$34)</c:f>
                <c:numCache>
                  <c:formatCode>General</c:formatCode>
                  <c:ptCount val="4"/>
                  <c:pt idx="0">
                    <c:v>0.85253148193268125</c:v>
                  </c:pt>
                  <c:pt idx="1">
                    <c:v>1.248759015189252</c:v>
                  </c:pt>
                  <c:pt idx="2">
                    <c:v>1.0343947785499157</c:v>
                  </c:pt>
                  <c:pt idx="3">
                    <c:v>1.4218604630394496</c:v>
                  </c:pt>
                </c:numCache>
              </c:numRef>
            </c:plus>
            <c:minus>
              <c:numRef>
                <c:f>(Tunnels_data!$L$34:$M$34,Tunnels_data!$Q$34:$R$34)</c:f>
                <c:numCache>
                  <c:formatCode>General</c:formatCode>
                  <c:ptCount val="4"/>
                  <c:pt idx="0">
                    <c:v>0.85253148193268125</c:v>
                  </c:pt>
                  <c:pt idx="1">
                    <c:v>1.248759015189252</c:v>
                  </c:pt>
                  <c:pt idx="2">
                    <c:v>1.0343947785499157</c:v>
                  </c:pt>
                  <c:pt idx="3">
                    <c:v>1.4218604630394496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(Tunnels_data!$L$30:$M$30,Tunnels_data!$Q$30:$R$30)</c:f>
              <c:numCache>
                <c:formatCode>General</c:formatCode>
                <c:ptCount val="4"/>
                <c:pt idx="0">
                  <c:v>2.8235294117647061</c:v>
                </c:pt>
                <c:pt idx="1">
                  <c:v>11.294117647058824</c:v>
                </c:pt>
                <c:pt idx="2">
                  <c:v>7.3529411764705879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6-44BA-9C2E-3142C23FA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943999"/>
        <c:axId val="487642959"/>
      </c:barChart>
      <c:catAx>
        <c:axId val="833943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642959"/>
        <c:crosses val="autoZero"/>
        <c:auto val="1"/>
        <c:lblAlgn val="ctr"/>
        <c:lblOffset val="100"/>
        <c:noMultiLvlLbl val="0"/>
      </c:catAx>
      <c:valAx>
        <c:axId val="48764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94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Grasstree_data!$Z$3</c:f>
              <c:strCache>
                <c:ptCount val="1"/>
                <c:pt idx="0">
                  <c:v>Healthy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Grasstree_data!$Y$4:$Y$13</c:f>
              <c:strCache>
                <c:ptCount val="10"/>
                <c:pt idx="0">
                  <c:v>0</c:v>
                </c:pt>
                <c:pt idx="1">
                  <c:v>1-9</c:v>
                </c:pt>
                <c:pt idx="2">
                  <c:v>10-20</c:v>
                </c:pt>
                <c:pt idx="3">
                  <c:v>21-30</c:v>
                </c:pt>
                <c:pt idx="4">
                  <c:v>31-40</c:v>
                </c:pt>
                <c:pt idx="5">
                  <c:v>41-50</c:v>
                </c:pt>
                <c:pt idx="6">
                  <c:v>51-75</c:v>
                </c:pt>
                <c:pt idx="7">
                  <c:v>76-100</c:v>
                </c:pt>
                <c:pt idx="8">
                  <c:v>101-150</c:v>
                </c:pt>
                <c:pt idx="9">
                  <c:v>151+</c:v>
                </c:pt>
              </c:strCache>
            </c:strRef>
          </c:cat>
          <c:val>
            <c:numRef>
              <c:f>Grasstree_data!$Z$4:$Z$13</c:f>
              <c:numCache>
                <c:formatCode>General</c:formatCode>
                <c:ptCount val="10"/>
                <c:pt idx="0">
                  <c:v>314</c:v>
                </c:pt>
                <c:pt idx="1">
                  <c:v>177</c:v>
                </c:pt>
                <c:pt idx="2">
                  <c:v>142</c:v>
                </c:pt>
                <c:pt idx="3">
                  <c:v>81</c:v>
                </c:pt>
                <c:pt idx="4">
                  <c:v>58</c:v>
                </c:pt>
                <c:pt idx="5">
                  <c:v>61</c:v>
                </c:pt>
                <c:pt idx="6">
                  <c:v>146</c:v>
                </c:pt>
                <c:pt idx="7">
                  <c:v>88</c:v>
                </c:pt>
                <c:pt idx="8">
                  <c:v>82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7-4E87-A30B-0E2809E18C2B}"/>
            </c:ext>
          </c:extLst>
        </c:ser>
        <c:ser>
          <c:idx val="1"/>
          <c:order val="1"/>
          <c:tx>
            <c:strRef>
              <c:f>Grasstree_data!$AA$3</c:f>
              <c:strCache>
                <c:ptCount val="1"/>
                <c:pt idx="0">
                  <c:v>Infested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Grasstree_data!$Y$4:$Y$13</c:f>
              <c:strCache>
                <c:ptCount val="10"/>
                <c:pt idx="0">
                  <c:v>0</c:v>
                </c:pt>
                <c:pt idx="1">
                  <c:v>1-9</c:v>
                </c:pt>
                <c:pt idx="2">
                  <c:v>10-20</c:v>
                </c:pt>
                <c:pt idx="3">
                  <c:v>21-30</c:v>
                </c:pt>
                <c:pt idx="4">
                  <c:v>31-40</c:v>
                </c:pt>
                <c:pt idx="5">
                  <c:v>41-50</c:v>
                </c:pt>
                <c:pt idx="6">
                  <c:v>51-75</c:v>
                </c:pt>
                <c:pt idx="7">
                  <c:v>76-100</c:v>
                </c:pt>
                <c:pt idx="8">
                  <c:v>101-150</c:v>
                </c:pt>
                <c:pt idx="9">
                  <c:v>151+</c:v>
                </c:pt>
              </c:strCache>
            </c:strRef>
          </c:cat>
          <c:val>
            <c:numRef>
              <c:f>Grasstree_data!$AA$4:$AA$13</c:f>
              <c:numCache>
                <c:formatCode>General</c:formatCode>
                <c:ptCount val="10"/>
                <c:pt idx="0">
                  <c:v>250</c:v>
                </c:pt>
                <c:pt idx="1">
                  <c:v>139</c:v>
                </c:pt>
                <c:pt idx="2">
                  <c:v>91</c:v>
                </c:pt>
                <c:pt idx="3">
                  <c:v>43</c:v>
                </c:pt>
                <c:pt idx="4">
                  <c:v>43</c:v>
                </c:pt>
                <c:pt idx="5">
                  <c:v>45</c:v>
                </c:pt>
                <c:pt idx="6">
                  <c:v>70</c:v>
                </c:pt>
                <c:pt idx="7">
                  <c:v>34</c:v>
                </c:pt>
                <c:pt idx="8">
                  <c:v>45</c:v>
                </c:pt>
                <c:pt idx="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7-4E87-A30B-0E2809E18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7184415"/>
        <c:axId val="1197181087"/>
      </c:barChart>
      <c:catAx>
        <c:axId val="119718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181087"/>
        <c:crosses val="autoZero"/>
        <c:auto val="1"/>
        <c:lblAlgn val="ctr"/>
        <c:lblOffset val="100"/>
        <c:noMultiLvlLbl val="0"/>
      </c:catAx>
      <c:valAx>
        <c:axId val="119718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18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Grasstree_data!$X$77</c:f>
              <c:strCache>
                <c:ptCount val="1"/>
                <c:pt idx="0">
                  <c:v>Habitable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Grasstree_data!$W$78:$W$87</c:f>
              <c:strCache>
                <c:ptCount val="10"/>
                <c:pt idx="0">
                  <c:v>0</c:v>
                </c:pt>
                <c:pt idx="1">
                  <c:v>1_9</c:v>
                </c:pt>
                <c:pt idx="2">
                  <c:v>10_20</c:v>
                </c:pt>
                <c:pt idx="3">
                  <c:v>21_30</c:v>
                </c:pt>
                <c:pt idx="4">
                  <c:v>31_40</c:v>
                </c:pt>
                <c:pt idx="5">
                  <c:v>41_50</c:v>
                </c:pt>
                <c:pt idx="6">
                  <c:v>51_75</c:v>
                </c:pt>
                <c:pt idx="7">
                  <c:v>76_100</c:v>
                </c:pt>
                <c:pt idx="8">
                  <c:v>100_150</c:v>
                </c:pt>
                <c:pt idx="9">
                  <c:v>151+</c:v>
                </c:pt>
              </c:strCache>
            </c:strRef>
          </c:cat>
          <c:val>
            <c:numRef>
              <c:f>Grasstree_data!$X$78:$X$87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184</c:v>
                </c:pt>
                <c:pt idx="3">
                  <c:v>99</c:v>
                </c:pt>
                <c:pt idx="4">
                  <c:v>83</c:v>
                </c:pt>
                <c:pt idx="5">
                  <c:v>89</c:v>
                </c:pt>
                <c:pt idx="6">
                  <c:v>182</c:v>
                </c:pt>
                <c:pt idx="7">
                  <c:v>106</c:v>
                </c:pt>
                <c:pt idx="8">
                  <c:v>48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8-41DB-A50C-C6E27230C197}"/>
            </c:ext>
          </c:extLst>
        </c:ser>
        <c:ser>
          <c:idx val="1"/>
          <c:order val="1"/>
          <c:tx>
            <c:strRef>
              <c:f>Grasstree_data!$Y$77</c:f>
              <c:strCache>
                <c:ptCount val="1"/>
                <c:pt idx="0">
                  <c:v>Uninhabitable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Grasstree_data!$W$78:$W$87</c:f>
              <c:strCache>
                <c:ptCount val="10"/>
                <c:pt idx="0">
                  <c:v>0</c:v>
                </c:pt>
                <c:pt idx="1">
                  <c:v>1_9</c:v>
                </c:pt>
                <c:pt idx="2">
                  <c:v>10_20</c:v>
                </c:pt>
                <c:pt idx="3">
                  <c:v>21_30</c:v>
                </c:pt>
                <c:pt idx="4">
                  <c:v>31_40</c:v>
                </c:pt>
                <c:pt idx="5">
                  <c:v>41_50</c:v>
                </c:pt>
                <c:pt idx="6">
                  <c:v>51_75</c:v>
                </c:pt>
                <c:pt idx="7">
                  <c:v>76_100</c:v>
                </c:pt>
                <c:pt idx="8">
                  <c:v>100_150</c:v>
                </c:pt>
                <c:pt idx="9">
                  <c:v>151+</c:v>
                </c:pt>
              </c:strCache>
            </c:strRef>
          </c:cat>
          <c:val>
            <c:numRef>
              <c:f>Grasstree_data!$Y$78:$Y$87</c:f>
              <c:numCache>
                <c:formatCode>General</c:formatCode>
                <c:ptCount val="10"/>
                <c:pt idx="0">
                  <c:v>564</c:v>
                </c:pt>
                <c:pt idx="1">
                  <c:v>316</c:v>
                </c:pt>
                <c:pt idx="2">
                  <c:v>49</c:v>
                </c:pt>
                <c:pt idx="3">
                  <c:v>25</c:v>
                </c:pt>
                <c:pt idx="4">
                  <c:v>18</c:v>
                </c:pt>
                <c:pt idx="5">
                  <c:v>17</c:v>
                </c:pt>
                <c:pt idx="6">
                  <c:v>34</c:v>
                </c:pt>
                <c:pt idx="7">
                  <c:v>16</c:v>
                </c:pt>
                <c:pt idx="8">
                  <c:v>79</c:v>
                </c:pt>
                <c:pt idx="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18-41DB-A50C-C6E27230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209359"/>
        <c:axId val="2018186479"/>
      </c:barChart>
      <c:catAx>
        <c:axId val="201820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186479"/>
        <c:crosses val="autoZero"/>
        <c:auto val="1"/>
        <c:lblAlgn val="ctr"/>
        <c:lblOffset val="100"/>
        <c:noMultiLvlLbl val="0"/>
      </c:catAx>
      <c:valAx>
        <c:axId val="201818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20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319365</xdr:colOff>
      <xdr:row>9</xdr:row>
      <xdr:rowOff>73959</xdr:rowOff>
    </xdr:from>
    <xdr:to>
      <xdr:col>28</xdr:col>
      <xdr:colOff>470645</xdr:colOff>
      <xdr:row>30</xdr:row>
      <xdr:rowOff>67235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62E35D-DE0B-466D-99C1-60465CF62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197982</xdr:colOff>
      <xdr:row>0</xdr:row>
      <xdr:rowOff>0</xdr:rowOff>
    </xdr:from>
    <xdr:to>
      <xdr:col>59</xdr:col>
      <xdr:colOff>1104900</xdr:colOff>
      <xdr:row>21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47E8A4-8993-4C2D-A054-B952E1F79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9525</xdr:colOff>
      <xdr:row>55</xdr:row>
      <xdr:rowOff>28575</xdr:rowOff>
    </xdr:from>
    <xdr:to>
      <xdr:col>50</xdr:col>
      <xdr:colOff>133350</xdr:colOff>
      <xdr:row>74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EF250F-3BD4-1CC2-2B2B-F7EE23D9D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 Mansfield" refreshedDate="44771.478805208331" createdVersion="7" refreshedVersion="8" minRefreshableVersion="3" recordCount="1950" xr:uid="{E19DE636-4A21-4FB2-9AE4-73BEE8377CBF}">
  <cacheSource type="worksheet">
    <worksheetSource ref="A1:J1951" sheet="Grasstree_data"/>
  </cacheSource>
  <cacheFields count="10">
    <cacheField name="site" numFmtId="0">
      <sharedItems/>
    </cacheField>
    <cacheField name="transect" numFmtId="0">
      <sharedItems containsSemiMixedTypes="0" containsString="0" containsNumber="1" containsInteger="1" minValue="1" maxValue="11"/>
    </cacheField>
    <cacheField name="zone" numFmtId="0">
      <sharedItems count="2">
        <s v="infested"/>
        <s v="uninfested"/>
      </sharedItems>
    </cacheField>
    <cacheField name="sample.id" numFmtId="0">
      <sharedItems count="34">
        <s v="s1"/>
        <s v="s2"/>
        <s v="s3"/>
        <s v="s4"/>
        <s v="s5"/>
        <s v="s6"/>
        <s v="s7"/>
        <s v="s8"/>
        <s v="f1"/>
        <s v="f2"/>
        <s v="f3"/>
        <s v="f4"/>
        <s v="f9"/>
        <s v="f10"/>
        <s v="f5"/>
        <s v="f6"/>
        <s v="f7"/>
        <s v="f8"/>
        <s v="q1"/>
        <s v="q2"/>
        <s v="q7"/>
        <s v="q8"/>
        <s v="a5"/>
        <s v="a6"/>
        <s v="a2"/>
        <s v="a7"/>
        <s v="a8"/>
        <s v="c6"/>
        <s v="c3"/>
        <s v="c4"/>
        <s v="c7"/>
        <s v="c8"/>
        <s v="a1"/>
        <s v="c5"/>
      </sharedItems>
    </cacheField>
    <cacheField name="height" numFmtId="0">
      <sharedItems containsSemiMixedTypes="0" containsString="0" containsNumber="1" containsInteger="1" minValue="0" maxValue="238"/>
    </cacheField>
    <cacheField name="skirt.gap" numFmtId="0">
      <sharedItems containsSemiMixedTypes="0" containsString="0" containsNumber="1" minValue="0" maxValue="153"/>
    </cacheField>
    <cacheField name="skirt.length" numFmtId="0">
      <sharedItems containsSemiMixedTypes="0" containsString="0" containsNumber="1" minValue="0" maxValue="165"/>
    </cacheField>
    <cacheField name="skirt.density" numFmtId="0">
      <sharedItems containsSemiMixedTypes="0" containsString="0" containsNumber="1" minValue="0" maxValue="93"/>
    </cacheField>
    <cacheField name="habitable" numFmtId="0">
      <sharedItems/>
    </cacheField>
    <cacheField name="Height_Class" numFmtId="0">
      <sharedItems containsMixedTypes="1" containsNumber="1" containsInteger="1" minValue="0" maxValue="0" count="10">
        <n v="0"/>
        <s v="1_9"/>
        <s v="10_20"/>
        <s v="21_30"/>
        <s v="31_40"/>
        <s v="41_50"/>
        <s v="51_75"/>
        <s v="76_100"/>
        <s v="100_150"/>
        <s v="151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0">
  <r>
    <s v="superblock"/>
    <n v="1"/>
    <x v="0"/>
    <x v="0"/>
    <n v="0"/>
    <n v="0"/>
    <n v="0"/>
    <n v="0"/>
    <s v="No"/>
    <x v="0"/>
  </r>
  <r>
    <s v="superblock"/>
    <n v="1"/>
    <x v="0"/>
    <x v="0"/>
    <n v="0"/>
    <n v="0"/>
    <n v="0"/>
    <n v="0"/>
    <s v="No"/>
    <x v="0"/>
  </r>
  <r>
    <s v="superblock"/>
    <n v="1"/>
    <x v="0"/>
    <x v="0"/>
    <n v="0"/>
    <n v="0"/>
    <n v="0"/>
    <n v="0"/>
    <s v="No"/>
    <x v="0"/>
  </r>
  <r>
    <s v="superblock"/>
    <n v="1"/>
    <x v="0"/>
    <x v="0"/>
    <n v="0"/>
    <n v="0"/>
    <n v="0"/>
    <n v="0"/>
    <s v="No"/>
    <x v="0"/>
  </r>
  <r>
    <s v="superblock"/>
    <n v="1"/>
    <x v="0"/>
    <x v="0"/>
    <n v="0"/>
    <n v="0"/>
    <n v="0"/>
    <n v="0"/>
    <s v="No"/>
    <x v="0"/>
  </r>
  <r>
    <s v="superblock"/>
    <n v="1"/>
    <x v="0"/>
    <x v="0"/>
    <n v="0"/>
    <n v="0"/>
    <n v="0"/>
    <n v="0"/>
    <s v="No"/>
    <x v="0"/>
  </r>
  <r>
    <s v="superblock"/>
    <n v="1"/>
    <x v="0"/>
    <x v="0"/>
    <n v="0"/>
    <n v="0"/>
    <n v="0"/>
    <n v="0"/>
    <s v="No"/>
    <x v="0"/>
  </r>
  <r>
    <s v="superblock"/>
    <n v="1"/>
    <x v="0"/>
    <x v="0"/>
    <n v="0"/>
    <n v="0"/>
    <n v="0"/>
    <n v="0"/>
    <s v="No"/>
    <x v="0"/>
  </r>
  <r>
    <s v="superblock"/>
    <n v="1"/>
    <x v="0"/>
    <x v="0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1"/>
    <x v="1"/>
    <x v="1"/>
    <n v="0"/>
    <n v="0"/>
    <n v="0"/>
    <n v="0"/>
    <s v="No"/>
    <x v="0"/>
  </r>
  <r>
    <s v="superblock"/>
    <n v="2"/>
    <x v="0"/>
    <x v="2"/>
    <n v="0"/>
    <n v="0"/>
    <n v="0"/>
    <n v="0"/>
    <s v="No"/>
    <x v="0"/>
  </r>
  <r>
    <s v="superblock"/>
    <n v="2"/>
    <x v="0"/>
    <x v="2"/>
    <n v="0"/>
    <n v="0"/>
    <n v="0"/>
    <n v="0"/>
    <s v="No"/>
    <x v="0"/>
  </r>
  <r>
    <s v="superblock"/>
    <n v="2"/>
    <x v="0"/>
    <x v="2"/>
    <n v="0"/>
    <n v="0"/>
    <n v="0"/>
    <n v="0"/>
    <s v="No"/>
    <x v="0"/>
  </r>
  <r>
    <s v="superblock"/>
    <n v="2"/>
    <x v="0"/>
    <x v="2"/>
    <n v="0"/>
    <n v="0"/>
    <n v="0"/>
    <n v="0"/>
    <s v="No"/>
    <x v="0"/>
  </r>
  <r>
    <s v="superblock"/>
    <n v="2"/>
    <x v="0"/>
    <x v="2"/>
    <n v="0"/>
    <n v="0"/>
    <n v="0"/>
    <n v="0"/>
    <s v="No"/>
    <x v="0"/>
  </r>
  <r>
    <s v="superblock"/>
    <n v="2"/>
    <x v="0"/>
    <x v="2"/>
    <n v="0"/>
    <n v="0"/>
    <n v="0"/>
    <n v="0"/>
    <s v="No"/>
    <x v="0"/>
  </r>
  <r>
    <s v="superblock"/>
    <n v="2"/>
    <x v="0"/>
    <x v="2"/>
    <n v="0"/>
    <n v="0"/>
    <n v="0"/>
    <n v="0"/>
    <s v="No"/>
    <x v="0"/>
  </r>
  <r>
    <s v="superblock"/>
    <n v="2"/>
    <x v="0"/>
    <x v="2"/>
    <n v="0"/>
    <n v="0"/>
    <n v="0"/>
    <n v="0"/>
    <s v="No"/>
    <x v="0"/>
  </r>
  <r>
    <s v="superblock"/>
    <n v="2"/>
    <x v="0"/>
    <x v="2"/>
    <n v="0"/>
    <n v="0"/>
    <n v="0"/>
    <n v="0"/>
    <s v="No"/>
    <x v="0"/>
  </r>
  <r>
    <s v="superblock"/>
    <n v="2"/>
    <x v="0"/>
    <x v="2"/>
    <n v="0"/>
    <n v="0"/>
    <n v="0"/>
    <n v="0"/>
    <s v="No"/>
    <x v="0"/>
  </r>
  <r>
    <s v="superblock"/>
    <n v="2"/>
    <x v="0"/>
    <x v="2"/>
    <n v="0"/>
    <n v="0"/>
    <n v="0"/>
    <n v="0"/>
    <s v="No"/>
    <x v="0"/>
  </r>
  <r>
    <s v="superblock"/>
    <n v="2"/>
    <x v="0"/>
    <x v="2"/>
    <n v="0"/>
    <n v="0"/>
    <n v="0"/>
    <n v="0"/>
    <s v="No"/>
    <x v="0"/>
  </r>
  <r>
    <s v="superblock"/>
    <n v="2"/>
    <x v="0"/>
    <x v="2"/>
    <n v="0"/>
    <n v="0"/>
    <n v="0"/>
    <n v="0"/>
    <s v="No"/>
    <x v="0"/>
  </r>
  <r>
    <s v="superblock"/>
    <n v="2"/>
    <x v="0"/>
    <x v="2"/>
    <n v="0"/>
    <n v="0"/>
    <n v="0"/>
    <n v="0"/>
    <s v="No"/>
    <x v="0"/>
  </r>
  <r>
    <s v="superblock"/>
    <n v="2"/>
    <x v="0"/>
    <x v="2"/>
    <n v="0"/>
    <n v="0"/>
    <n v="0"/>
    <n v="0"/>
    <s v="No"/>
    <x v="0"/>
  </r>
  <r>
    <s v="superblock"/>
    <n v="2"/>
    <x v="0"/>
    <x v="2"/>
    <n v="0"/>
    <n v="0"/>
    <n v="0"/>
    <n v="0"/>
    <s v="No"/>
    <x v="0"/>
  </r>
  <r>
    <s v="superblock"/>
    <n v="2"/>
    <x v="0"/>
    <x v="2"/>
    <n v="0"/>
    <n v="0"/>
    <n v="0"/>
    <n v="0"/>
    <s v="No"/>
    <x v="0"/>
  </r>
  <r>
    <s v="superblock"/>
    <n v="2"/>
    <x v="1"/>
    <x v="3"/>
    <n v="0"/>
    <n v="0"/>
    <n v="0"/>
    <n v="0"/>
    <s v="No"/>
    <x v="0"/>
  </r>
  <r>
    <s v="superblock"/>
    <n v="2"/>
    <x v="1"/>
    <x v="3"/>
    <n v="0"/>
    <n v="0"/>
    <n v="0"/>
    <n v="0"/>
    <s v="No"/>
    <x v="0"/>
  </r>
  <r>
    <s v="superblock"/>
    <n v="2"/>
    <x v="1"/>
    <x v="3"/>
    <n v="0"/>
    <n v="0"/>
    <n v="0"/>
    <n v="0"/>
    <s v="No"/>
    <x v="0"/>
  </r>
  <r>
    <s v="superblock"/>
    <n v="2"/>
    <x v="1"/>
    <x v="3"/>
    <n v="0"/>
    <n v="0"/>
    <n v="0"/>
    <n v="0"/>
    <s v="No"/>
    <x v="0"/>
  </r>
  <r>
    <s v="superblock"/>
    <n v="2"/>
    <x v="1"/>
    <x v="3"/>
    <n v="0"/>
    <n v="0"/>
    <n v="0"/>
    <n v="0"/>
    <s v="No"/>
    <x v="0"/>
  </r>
  <r>
    <s v="superblock"/>
    <n v="2"/>
    <x v="1"/>
    <x v="3"/>
    <n v="0"/>
    <n v="0"/>
    <n v="0"/>
    <n v="0"/>
    <s v="No"/>
    <x v="0"/>
  </r>
  <r>
    <s v="superblock"/>
    <n v="2"/>
    <x v="1"/>
    <x v="3"/>
    <n v="0"/>
    <n v="0"/>
    <n v="0"/>
    <n v="0"/>
    <s v="No"/>
    <x v="0"/>
  </r>
  <r>
    <s v="superblock"/>
    <n v="2"/>
    <x v="1"/>
    <x v="3"/>
    <n v="0"/>
    <n v="0"/>
    <n v="0"/>
    <n v="0"/>
    <s v="No"/>
    <x v="0"/>
  </r>
  <r>
    <s v="superblock"/>
    <n v="2"/>
    <x v="1"/>
    <x v="3"/>
    <n v="0"/>
    <n v="0"/>
    <n v="0"/>
    <n v="0"/>
    <s v="No"/>
    <x v="0"/>
  </r>
  <r>
    <s v="superblock"/>
    <n v="2"/>
    <x v="1"/>
    <x v="3"/>
    <n v="0"/>
    <n v="0"/>
    <n v="0"/>
    <n v="0"/>
    <s v="No"/>
    <x v="0"/>
  </r>
  <r>
    <s v="superblock"/>
    <n v="2"/>
    <x v="1"/>
    <x v="3"/>
    <n v="0"/>
    <n v="0"/>
    <n v="0"/>
    <n v="0"/>
    <s v="No"/>
    <x v="0"/>
  </r>
  <r>
    <s v="superblock"/>
    <n v="2"/>
    <x v="1"/>
    <x v="3"/>
    <n v="0"/>
    <n v="0"/>
    <n v="0"/>
    <n v="0"/>
    <s v="No"/>
    <x v="0"/>
  </r>
  <r>
    <s v="superblock"/>
    <n v="3"/>
    <x v="0"/>
    <x v="4"/>
    <n v="0"/>
    <n v="0"/>
    <n v="0"/>
    <n v="0"/>
    <s v="No"/>
    <x v="0"/>
  </r>
  <r>
    <s v="superblock"/>
    <n v="3"/>
    <x v="0"/>
    <x v="4"/>
    <n v="0"/>
    <n v="0"/>
    <n v="0"/>
    <n v="0"/>
    <s v="No"/>
    <x v="0"/>
  </r>
  <r>
    <s v="superblock"/>
    <n v="3"/>
    <x v="0"/>
    <x v="4"/>
    <n v="0"/>
    <n v="0"/>
    <n v="0"/>
    <n v="0"/>
    <s v="No"/>
    <x v="0"/>
  </r>
  <r>
    <s v="superblock"/>
    <n v="3"/>
    <x v="0"/>
    <x v="4"/>
    <n v="0"/>
    <n v="0"/>
    <n v="0"/>
    <n v="0"/>
    <s v="No"/>
    <x v="0"/>
  </r>
  <r>
    <s v="superblock"/>
    <n v="3"/>
    <x v="0"/>
    <x v="4"/>
    <n v="0"/>
    <n v="0"/>
    <n v="0"/>
    <n v="0"/>
    <s v="No"/>
    <x v="0"/>
  </r>
  <r>
    <s v="superblock"/>
    <n v="3"/>
    <x v="0"/>
    <x v="4"/>
    <n v="0"/>
    <n v="0"/>
    <n v="0"/>
    <n v="0"/>
    <s v="No"/>
    <x v="0"/>
  </r>
  <r>
    <s v="superblock"/>
    <n v="3"/>
    <x v="0"/>
    <x v="4"/>
    <n v="0"/>
    <n v="0"/>
    <n v="0"/>
    <n v="0"/>
    <s v="No"/>
    <x v="0"/>
  </r>
  <r>
    <s v="superblock"/>
    <n v="3"/>
    <x v="0"/>
    <x v="4"/>
    <n v="0"/>
    <n v="0"/>
    <n v="0"/>
    <n v="0"/>
    <s v="No"/>
    <x v="0"/>
  </r>
  <r>
    <s v="superblock"/>
    <n v="3"/>
    <x v="0"/>
    <x v="4"/>
    <n v="0"/>
    <n v="0"/>
    <n v="0"/>
    <n v="0"/>
    <s v="No"/>
    <x v="0"/>
  </r>
  <r>
    <s v="superblock"/>
    <n v="3"/>
    <x v="0"/>
    <x v="4"/>
    <n v="0"/>
    <n v="0"/>
    <n v="0"/>
    <n v="0"/>
    <s v="No"/>
    <x v="0"/>
  </r>
  <r>
    <s v="superblock"/>
    <n v="3"/>
    <x v="0"/>
    <x v="4"/>
    <n v="0"/>
    <n v="0"/>
    <n v="0"/>
    <n v="0"/>
    <s v="No"/>
    <x v="0"/>
  </r>
  <r>
    <s v="superblock"/>
    <n v="3"/>
    <x v="0"/>
    <x v="4"/>
    <n v="0"/>
    <n v="0"/>
    <n v="0"/>
    <n v="0"/>
    <s v="No"/>
    <x v="0"/>
  </r>
  <r>
    <s v="superblock"/>
    <n v="3"/>
    <x v="0"/>
    <x v="4"/>
    <n v="0"/>
    <n v="0"/>
    <n v="0"/>
    <n v="0"/>
    <s v="No"/>
    <x v="0"/>
  </r>
  <r>
    <s v="superblock"/>
    <n v="3"/>
    <x v="0"/>
    <x v="4"/>
    <n v="0"/>
    <n v="0"/>
    <n v="0"/>
    <n v="0"/>
    <s v="No"/>
    <x v="0"/>
  </r>
  <r>
    <s v="superblock"/>
    <n v="3"/>
    <x v="0"/>
    <x v="4"/>
    <n v="0"/>
    <n v="0"/>
    <n v="0"/>
    <n v="0"/>
    <s v="No"/>
    <x v="0"/>
  </r>
  <r>
    <s v="superblock"/>
    <n v="3"/>
    <x v="0"/>
    <x v="4"/>
    <n v="0"/>
    <n v="0"/>
    <n v="0"/>
    <n v="0"/>
    <s v="No"/>
    <x v="0"/>
  </r>
  <r>
    <s v="superblock"/>
    <n v="3"/>
    <x v="0"/>
    <x v="4"/>
    <n v="0"/>
    <n v="0"/>
    <n v="0"/>
    <n v="0"/>
    <s v="No"/>
    <x v="0"/>
  </r>
  <r>
    <s v="superblock"/>
    <n v="3"/>
    <x v="0"/>
    <x v="4"/>
    <n v="0"/>
    <n v="0"/>
    <n v="0"/>
    <n v="0"/>
    <s v="No"/>
    <x v="0"/>
  </r>
  <r>
    <s v="superblock"/>
    <n v="3"/>
    <x v="0"/>
    <x v="4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3"/>
    <x v="1"/>
    <x v="5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0"/>
    <x v="6"/>
    <n v="0"/>
    <n v="0"/>
    <n v="0"/>
    <n v="0"/>
    <s v="No"/>
    <x v="0"/>
  </r>
  <r>
    <s v="superblock"/>
    <n v="4"/>
    <x v="1"/>
    <x v="7"/>
    <n v="0"/>
    <n v="0"/>
    <n v="0"/>
    <n v="0"/>
    <s v="No"/>
    <x v="0"/>
  </r>
  <r>
    <s v="superblock"/>
    <n v="4"/>
    <x v="1"/>
    <x v="7"/>
    <n v="0"/>
    <n v="0"/>
    <n v="0"/>
    <n v="0"/>
    <s v="No"/>
    <x v="0"/>
  </r>
  <r>
    <s v="superblock"/>
    <n v="4"/>
    <x v="1"/>
    <x v="7"/>
    <n v="0"/>
    <n v="0"/>
    <n v="0"/>
    <n v="0"/>
    <s v="No"/>
    <x v="0"/>
  </r>
  <r>
    <s v="superblock"/>
    <n v="4"/>
    <x v="1"/>
    <x v="7"/>
    <n v="0"/>
    <n v="0"/>
    <n v="0"/>
    <n v="0"/>
    <s v="No"/>
    <x v="0"/>
  </r>
  <r>
    <s v="falls"/>
    <n v="1"/>
    <x v="0"/>
    <x v="8"/>
    <n v="0"/>
    <n v="0"/>
    <n v="0"/>
    <n v="0"/>
    <s v="No"/>
    <x v="0"/>
  </r>
  <r>
    <s v="falls"/>
    <n v="1"/>
    <x v="0"/>
    <x v="8"/>
    <n v="0"/>
    <n v="0"/>
    <n v="0"/>
    <n v="0"/>
    <s v="No"/>
    <x v="0"/>
  </r>
  <r>
    <s v="falls"/>
    <n v="1"/>
    <x v="0"/>
    <x v="8"/>
    <n v="0"/>
    <n v="0"/>
    <n v="0"/>
    <n v="0"/>
    <s v="No"/>
    <x v="0"/>
  </r>
  <r>
    <s v="falls"/>
    <n v="1"/>
    <x v="0"/>
    <x v="8"/>
    <n v="0"/>
    <n v="0"/>
    <n v="0"/>
    <n v="0"/>
    <s v="No"/>
    <x v="0"/>
  </r>
  <r>
    <s v="falls"/>
    <n v="1"/>
    <x v="0"/>
    <x v="8"/>
    <n v="0"/>
    <n v="0"/>
    <n v="0"/>
    <n v="0"/>
    <s v="No"/>
    <x v="0"/>
  </r>
  <r>
    <s v="falls"/>
    <n v="1"/>
    <x v="0"/>
    <x v="8"/>
    <n v="0"/>
    <n v="0"/>
    <n v="0"/>
    <n v="0"/>
    <s v="No"/>
    <x v="0"/>
  </r>
  <r>
    <s v="falls"/>
    <n v="1"/>
    <x v="0"/>
    <x v="8"/>
    <n v="0"/>
    <n v="0"/>
    <n v="0"/>
    <n v="0"/>
    <s v="No"/>
    <x v="0"/>
  </r>
  <r>
    <s v="falls"/>
    <n v="1"/>
    <x v="0"/>
    <x v="8"/>
    <n v="0"/>
    <n v="0"/>
    <n v="0"/>
    <n v="0"/>
    <s v="No"/>
    <x v="0"/>
  </r>
  <r>
    <s v="falls"/>
    <n v="1"/>
    <x v="0"/>
    <x v="8"/>
    <n v="0"/>
    <n v="0"/>
    <n v="0"/>
    <n v="0"/>
    <s v="No"/>
    <x v="0"/>
  </r>
  <r>
    <s v="falls"/>
    <n v="1"/>
    <x v="0"/>
    <x v="8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1"/>
    <x v="1"/>
    <x v="9"/>
    <n v="0"/>
    <n v="0"/>
    <n v="0"/>
    <n v="0"/>
    <s v="No"/>
    <x v="0"/>
  </r>
  <r>
    <s v="falls"/>
    <n v="2"/>
    <x v="0"/>
    <x v="10"/>
    <n v="0"/>
    <n v="0"/>
    <n v="0"/>
    <n v="0"/>
    <s v="No"/>
    <x v="0"/>
  </r>
  <r>
    <s v="falls"/>
    <n v="2"/>
    <x v="0"/>
    <x v="10"/>
    <n v="0"/>
    <n v="0"/>
    <n v="0"/>
    <n v="0"/>
    <s v="No"/>
    <x v="0"/>
  </r>
  <r>
    <s v="falls"/>
    <n v="2"/>
    <x v="0"/>
    <x v="10"/>
    <n v="0"/>
    <n v="0"/>
    <n v="0"/>
    <n v="0"/>
    <s v="No"/>
    <x v="0"/>
  </r>
  <r>
    <s v="falls"/>
    <n v="2"/>
    <x v="0"/>
    <x v="10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2"/>
    <x v="1"/>
    <x v="11"/>
    <n v="0"/>
    <n v="0"/>
    <n v="0"/>
    <n v="0"/>
    <s v="No"/>
    <x v="0"/>
  </r>
  <r>
    <s v="falls"/>
    <n v="5"/>
    <x v="0"/>
    <x v="12"/>
    <n v="0"/>
    <n v="0"/>
    <n v="0"/>
    <n v="0"/>
    <s v="No"/>
    <x v="0"/>
  </r>
  <r>
    <s v="falls"/>
    <n v="5"/>
    <x v="0"/>
    <x v="12"/>
    <n v="0"/>
    <n v="0"/>
    <n v="0"/>
    <n v="0"/>
    <s v="No"/>
    <x v="0"/>
  </r>
  <r>
    <s v="falls"/>
    <n v="5"/>
    <x v="0"/>
    <x v="12"/>
    <n v="0"/>
    <n v="0"/>
    <n v="0"/>
    <n v="0"/>
    <s v="No"/>
    <x v="0"/>
  </r>
  <r>
    <s v="falls"/>
    <n v="5"/>
    <x v="0"/>
    <x v="12"/>
    <n v="0"/>
    <n v="0"/>
    <n v="0"/>
    <n v="0"/>
    <s v="No"/>
    <x v="0"/>
  </r>
  <r>
    <s v="falls"/>
    <n v="5"/>
    <x v="0"/>
    <x v="12"/>
    <n v="0"/>
    <n v="0"/>
    <n v="0"/>
    <n v="0"/>
    <s v="No"/>
    <x v="0"/>
  </r>
  <r>
    <s v="falls"/>
    <n v="5"/>
    <x v="0"/>
    <x v="12"/>
    <n v="0"/>
    <n v="0"/>
    <n v="0"/>
    <n v="0"/>
    <s v="No"/>
    <x v="0"/>
  </r>
  <r>
    <s v="falls"/>
    <n v="5"/>
    <x v="0"/>
    <x v="12"/>
    <n v="0"/>
    <n v="0"/>
    <n v="0"/>
    <n v="0"/>
    <s v="No"/>
    <x v="0"/>
  </r>
  <r>
    <s v="falls"/>
    <n v="5"/>
    <x v="0"/>
    <x v="12"/>
    <n v="0"/>
    <n v="0"/>
    <n v="0"/>
    <n v="0"/>
    <s v="No"/>
    <x v="0"/>
  </r>
  <r>
    <s v="falls"/>
    <n v="5"/>
    <x v="0"/>
    <x v="12"/>
    <n v="0"/>
    <n v="0"/>
    <n v="0"/>
    <n v="0"/>
    <s v="No"/>
    <x v="0"/>
  </r>
  <r>
    <s v="falls"/>
    <n v="5"/>
    <x v="0"/>
    <x v="12"/>
    <n v="0"/>
    <n v="0"/>
    <n v="0"/>
    <n v="0"/>
    <s v="No"/>
    <x v="0"/>
  </r>
  <r>
    <s v="falls"/>
    <n v="5"/>
    <x v="0"/>
    <x v="12"/>
    <n v="0"/>
    <n v="0"/>
    <n v="0"/>
    <n v="0"/>
    <s v="No"/>
    <x v="0"/>
  </r>
  <r>
    <s v="falls"/>
    <n v="5"/>
    <x v="0"/>
    <x v="12"/>
    <n v="0"/>
    <n v="0"/>
    <n v="0"/>
    <n v="0"/>
    <s v="No"/>
    <x v="0"/>
  </r>
  <r>
    <s v="falls"/>
    <n v="5"/>
    <x v="0"/>
    <x v="12"/>
    <n v="0"/>
    <n v="0"/>
    <n v="0"/>
    <n v="0"/>
    <s v="No"/>
    <x v="0"/>
  </r>
  <r>
    <s v="falls"/>
    <n v="5"/>
    <x v="0"/>
    <x v="12"/>
    <n v="0"/>
    <n v="0"/>
    <n v="0"/>
    <n v="0"/>
    <s v="No"/>
    <x v="0"/>
  </r>
  <r>
    <s v="falls"/>
    <n v="5"/>
    <x v="0"/>
    <x v="12"/>
    <n v="0"/>
    <n v="0"/>
    <n v="0"/>
    <n v="0"/>
    <s v="No"/>
    <x v="0"/>
  </r>
  <r>
    <s v="falls"/>
    <n v="5"/>
    <x v="0"/>
    <x v="12"/>
    <n v="0"/>
    <n v="0"/>
    <n v="0"/>
    <n v="0"/>
    <s v="No"/>
    <x v="0"/>
  </r>
  <r>
    <s v="falls"/>
    <n v="5"/>
    <x v="0"/>
    <x v="12"/>
    <n v="0"/>
    <n v="0"/>
    <n v="0"/>
    <n v="0"/>
    <s v="No"/>
    <x v="0"/>
  </r>
  <r>
    <s v="falls"/>
    <n v="5"/>
    <x v="0"/>
    <x v="12"/>
    <n v="0"/>
    <n v="0"/>
    <n v="0"/>
    <n v="0"/>
    <s v="No"/>
    <x v="0"/>
  </r>
  <r>
    <s v="falls"/>
    <n v="5"/>
    <x v="0"/>
    <x v="12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5"/>
    <x v="1"/>
    <x v="13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0"/>
    <x v="14"/>
    <n v="0"/>
    <n v="0"/>
    <n v="0"/>
    <n v="0"/>
    <s v="No"/>
    <x v="0"/>
  </r>
  <r>
    <s v="falls"/>
    <n v="3"/>
    <x v="1"/>
    <x v="15"/>
    <n v="0"/>
    <n v="0"/>
    <n v="0"/>
    <n v="0"/>
    <s v="No"/>
    <x v="0"/>
  </r>
  <r>
    <s v="falls"/>
    <n v="3"/>
    <x v="1"/>
    <x v="15"/>
    <n v="0"/>
    <n v="0"/>
    <n v="0"/>
    <n v="0"/>
    <s v="No"/>
    <x v="0"/>
  </r>
  <r>
    <s v="falls"/>
    <n v="3"/>
    <x v="1"/>
    <x v="15"/>
    <n v="0"/>
    <n v="0"/>
    <n v="0"/>
    <n v="0"/>
    <s v="No"/>
    <x v="0"/>
  </r>
  <r>
    <s v="falls"/>
    <n v="3"/>
    <x v="1"/>
    <x v="15"/>
    <n v="0"/>
    <n v="0"/>
    <n v="0"/>
    <n v="0"/>
    <s v="No"/>
    <x v="0"/>
  </r>
  <r>
    <s v="falls"/>
    <n v="3"/>
    <x v="1"/>
    <x v="15"/>
    <n v="0"/>
    <n v="0"/>
    <n v="0"/>
    <n v="0"/>
    <s v="No"/>
    <x v="0"/>
  </r>
  <r>
    <s v="falls"/>
    <n v="3"/>
    <x v="1"/>
    <x v="15"/>
    <n v="0"/>
    <n v="0"/>
    <n v="0"/>
    <n v="0"/>
    <s v="No"/>
    <x v="0"/>
  </r>
  <r>
    <s v="falls"/>
    <n v="3"/>
    <x v="1"/>
    <x v="15"/>
    <n v="0"/>
    <n v="0"/>
    <n v="0"/>
    <n v="0"/>
    <s v="No"/>
    <x v="0"/>
  </r>
  <r>
    <s v="falls"/>
    <n v="3"/>
    <x v="1"/>
    <x v="15"/>
    <n v="0"/>
    <n v="0"/>
    <n v="0"/>
    <n v="0"/>
    <s v="No"/>
    <x v="0"/>
  </r>
  <r>
    <s v="falls"/>
    <n v="3"/>
    <x v="1"/>
    <x v="15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0"/>
    <x v="16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falls"/>
    <n v="4"/>
    <x v="1"/>
    <x v="17"/>
    <n v="0"/>
    <n v="0"/>
    <n v="0"/>
    <n v="0"/>
    <s v="No"/>
    <x v="0"/>
  </r>
  <r>
    <s v="quail"/>
    <n v="1"/>
    <x v="0"/>
    <x v="18"/>
    <n v="0"/>
    <n v="0"/>
    <n v="0"/>
    <n v="0"/>
    <s v="No"/>
    <x v="0"/>
  </r>
  <r>
    <s v="quail"/>
    <n v="1"/>
    <x v="0"/>
    <x v="18"/>
    <n v="0"/>
    <n v="0"/>
    <n v="0"/>
    <n v="0"/>
    <s v="No"/>
    <x v="0"/>
  </r>
  <r>
    <s v="quail"/>
    <n v="1"/>
    <x v="0"/>
    <x v="18"/>
    <n v="0"/>
    <n v="0"/>
    <n v="0"/>
    <n v="0"/>
    <s v="No"/>
    <x v="0"/>
  </r>
  <r>
    <s v="quail"/>
    <n v="1"/>
    <x v="0"/>
    <x v="18"/>
    <n v="0"/>
    <n v="0"/>
    <n v="0"/>
    <n v="0"/>
    <s v="No"/>
    <x v="0"/>
  </r>
  <r>
    <s v="quail"/>
    <n v="1"/>
    <x v="0"/>
    <x v="18"/>
    <n v="0"/>
    <n v="0"/>
    <n v="0"/>
    <n v="0"/>
    <s v="No"/>
    <x v="0"/>
  </r>
  <r>
    <s v="quail"/>
    <n v="1"/>
    <x v="0"/>
    <x v="18"/>
    <n v="0"/>
    <n v="0"/>
    <n v="0"/>
    <n v="0"/>
    <s v="No"/>
    <x v="0"/>
  </r>
  <r>
    <s v="quail"/>
    <n v="1"/>
    <x v="0"/>
    <x v="18"/>
    <n v="0"/>
    <n v="0"/>
    <n v="0"/>
    <n v="0"/>
    <s v="No"/>
    <x v="0"/>
  </r>
  <r>
    <s v="quail"/>
    <n v="1"/>
    <x v="0"/>
    <x v="18"/>
    <n v="0"/>
    <n v="0"/>
    <n v="0"/>
    <n v="0"/>
    <s v="No"/>
    <x v="0"/>
  </r>
  <r>
    <s v="quail"/>
    <n v="1"/>
    <x v="0"/>
    <x v="18"/>
    <n v="0"/>
    <n v="0"/>
    <n v="0"/>
    <n v="0"/>
    <s v="No"/>
    <x v="0"/>
  </r>
  <r>
    <s v="quail"/>
    <n v="1"/>
    <x v="0"/>
    <x v="18"/>
    <n v="0"/>
    <n v="0"/>
    <n v="0"/>
    <n v="0"/>
    <s v="No"/>
    <x v="0"/>
  </r>
  <r>
    <s v="quail"/>
    <n v="1"/>
    <x v="0"/>
    <x v="18"/>
    <n v="0"/>
    <n v="0"/>
    <n v="0"/>
    <n v="0"/>
    <s v="No"/>
    <x v="0"/>
  </r>
  <r>
    <s v="quail"/>
    <n v="1"/>
    <x v="0"/>
    <x v="18"/>
    <n v="0"/>
    <n v="0"/>
    <n v="0"/>
    <n v="0"/>
    <s v="No"/>
    <x v="0"/>
  </r>
  <r>
    <s v="quail"/>
    <n v="1"/>
    <x v="0"/>
    <x v="18"/>
    <n v="0"/>
    <n v="0"/>
    <n v="0"/>
    <n v="0"/>
    <s v="No"/>
    <x v="0"/>
  </r>
  <r>
    <s v="quail"/>
    <n v="1"/>
    <x v="0"/>
    <x v="18"/>
    <n v="0"/>
    <n v="0"/>
    <n v="0"/>
    <n v="0"/>
    <s v="No"/>
    <x v="0"/>
  </r>
  <r>
    <s v="quail"/>
    <n v="1"/>
    <x v="0"/>
    <x v="18"/>
    <n v="0"/>
    <n v="0"/>
    <n v="0"/>
    <n v="0"/>
    <s v="No"/>
    <x v="0"/>
  </r>
  <r>
    <s v="quail"/>
    <n v="1"/>
    <x v="0"/>
    <x v="18"/>
    <n v="0"/>
    <n v="0"/>
    <n v="0"/>
    <n v="0"/>
    <s v="No"/>
    <x v="0"/>
  </r>
  <r>
    <s v="quail"/>
    <n v="1"/>
    <x v="0"/>
    <x v="18"/>
    <n v="0"/>
    <n v="0"/>
    <n v="0"/>
    <n v="0"/>
    <s v="No"/>
    <x v="0"/>
  </r>
  <r>
    <s v="quail"/>
    <n v="1"/>
    <x v="0"/>
    <x v="18"/>
    <n v="0"/>
    <n v="0"/>
    <n v="0"/>
    <n v="0"/>
    <s v="No"/>
    <x v="0"/>
  </r>
  <r>
    <s v="quail"/>
    <n v="1"/>
    <x v="1"/>
    <x v="19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0"/>
    <x v="20"/>
    <n v="0"/>
    <n v="0"/>
    <n v="0"/>
    <n v="0"/>
    <s v="No"/>
    <x v="0"/>
  </r>
  <r>
    <s v="quail"/>
    <n v="4"/>
    <x v="1"/>
    <x v="21"/>
    <n v="0"/>
    <n v="0"/>
    <n v="0"/>
    <n v="0"/>
    <s v="No"/>
    <x v="0"/>
  </r>
  <r>
    <s v="quail"/>
    <n v="4"/>
    <x v="1"/>
    <x v="21"/>
    <n v="0"/>
    <n v="0"/>
    <n v="0"/>
    <n v="0"/>
    <s v="No"/>
    <x v="0"/>
  </r>
  <r>
    <s v="quail"/>
    <n v="4"/>
    <x v="1"/>
    <x v="21"/>
    <n v="0"/>
    <n v="0"/>
    <n v="0"/>
    <n v="0"/>
    <s v="No"/>
    <x v="0"/>
  </r>
  <r>
    <s v="quail"/>
    <n v="4"/>
    <x v="1"/>
    <x v="21"/>
    <n v="0"/>
    <n v="0"/>
    <n v="0"/>
    <n v="0"/>
    <s v="No"/>
    <x v="0"/>
  </r>
  <r>
    <s v="quail"/>
    <n v="4"/>
    <x v="1"/>
    <x v="21"/>
    <n v="0"/>
    <n v="0"/>
    <n v="0"/>
    <n v="0"/>
    <s v="No"/>
    <x v="0"/>
  </r>
  <r>
    <s v="quail"/>
    <n v="4"/>
    <x v="1"/>
    <x v="21"/>
    <n v="0"/>
    <n v="0"/>
    <n v="0"/>
    <n v="0"/>
    <s v="No"/>
    <x v="0"/>
  </r>
  <r>
    <s v="quail"/>
    <n v="4"/>
    <x v="1"/>
    <x v="21"/>
    <n v="0"/>
    <n v="0"/>
    <n v="0"/>
    <n v="0"/>
    <s v="No"/>
    <x v="0"/>
  </r>
  <r>
    <s v="quail"/>
    <n v="4"/>
    <x v="1"/>
    <x v="21"/>
    <n v="0"/>
    <n v="0"/>
    <n v="0"/>
    <n v="0"/>
    <s v="No"/>
    <x v="0"/>
  </r>
  <r>
    <s v="quail"/>
    <n v="4"/>
    <x v="1"/>
    <x v="21"/>
    <n v="0"/>
    <n v="0"/>
    <n v="0"/>
    <n v="0"/>
    <s v="No"/>
    <x v="0"/>
  </r>
  <r>
    <s v="quail"/>
    <n v="4"/>
    <x v="1"/>
    <x v="21"/>
    <n v="0"/>
    <n v="0"/>
    <n v="0"/>
    <n v="0"/>
    <s v="No"/>
    <x v="0"/>
  </r>
  <r>
    <s v="alps"/>
    <n v="5"/>
    <x v="0"/>
    <x v="22"/>
    <n v="0"/>
    <n v="0"/>
    <n v="0"/>
    <n v="0"/>
    <s v="No"/>
    <x v="0"/>
  </r>
  <r>
    <s v="alps"/>
    <n v="5"/>
    <x v="0"/>
    <x v="22"/>
    <n v="0"/>
    <n v="0"/>
    <n v="0"/>
    <n v="0"/>
    <s v="No"/>
    <x v="0"/>
  </r>
  <r>
    <s v="alps"/>
    <n v="5"/>
    <x v="0"/>
    <x v="22"/>
    <n v="0"/>
    <n v="0"/>
    <n v="0"/>
    <n v="0"/>
    <s v="No"/>
    <x v="0"/>
  </r>
  <r>
    <s v="alps"/>
    <n v="5"/>
    <x v="0"/>
    <x v="22"/>
    <n v="0"/>
    <n v="0"/>
    <n v="0"/>
    <n v="0"/>
    <s v="No"/>
    <x v="0"/>
  </r>
  <r>
    <s v="alps"/>
    <n v="5"/>
    <x v="0"/>
    <x v="22"/>
    <n v="0"/>
    <n v="0"/>
    <n v="0"/>
    <n v="0"/>
    <s v="No"/>
    <x v="0"/>
  </r>
  <r>
    <s v="alps"/>
    <n v="5"/>
    <x v="0"/>
    <x v="22"/>
    <n v="0"/>
    <n v="0"/>
    <n v="0"/>
    <n v="0"/>
    <s v="No"/>
    <x v="0"/>
  </r>
  <r>
    <s v="alps"/>
    <n v="5"/>
    <x v="0"/>
    <x v="22"/>
    <n v="0"/>
    <n v="0"/>
    <n v="0"/>
    <n v="0"/>
    <s v="No"/>
    <x v="0"/>
  </r>
  <r>
    <s v="alps"/>
    <n v="5"/>
    <x v="0"/>
    <x v="22"/>
    <n v="0"/>
    <n v="0"/>
    <n v="0"/>
    <n v="0"/>
    <s v="No"/>
    <x v="0"/>
  </r>
  <r>
    <s v="alps"/>
    <n v="5"/>
    <x v="0"/>
    <x v="22"/>
    <n v="0"/>
    <n v="0"/>
    <n v="0"/>
    <n v="0"/>
    <s v="No"/>
    <x v="0"/>
  </r>
  <r>
    <s v="alps"/>
    <n v="5"/>
    <x v="0"/>
    <x v="22"/>
    <n v="0"/>
    <n v="0"/>
    <n v="0"/>
    <n v="0"/>
    <s v="No"/>
    <x v="0"/>
  </r>
  <r>
    <s v="alps"/>
    <n v="5"/>
    <x v="0"/>
    <x v="22"/>
    <n v="0"/>
    <n v="0"/>
    <n v="0"/>
    <n v="0"/>
    <s v="No"/>
    <x v="0"/>
  </r>
  <r>
    <s v="alps"/>
    <n v="5"/>
    <x v="0"/>
    <x v="22"/>
    <n v="0"/>
    <n v="0"/>
    <n v="0"/>
    <n v="0"/>
    <s v="No"/>
    <x v="0"/>
  </r>
  <r>
    <s v="alps"/>
    <n v="5"/>
    <x v="0"/>
    <x v="22"/>
    <n v="0"/>
    <n v="0"/>
    <n v="0"/>
    <n v="0"/>
    <s v="No"/>
    <x v="0"/>
  </r>
  <r>
    <s v="alps"/>
    <n v="5"/>
    <x v="0"/>
    <x v="22"/>
    <n v="0"/>
    <n v="0"/>
    <n v="0"/>
    <n v="0"/>
    <s v="No"/>
    <x v="0"/>
  </r>
  <r>
    <s v="alps"/>
    <n v="5"/>
    <x v="1"/>
    <x v="23"/>
    <n v="0"/>
    <n v="0"/>
    <n v="0"/>
    <n v="0"/>
    <s v="No"/>
    <x v="0"/>
  </r>
  <r>
    <s v="alps"/>
    <n v="5"/>
    <x v="1"/>
    <x v="23"/>
    <n v="0"/>
    <n v="0"/>
    <n v="0"/>
    <n v="0"/>
    <s v="No"/>
    <x v="0"/>
  </r>
  <r>
    <s v="alps"/>
    <n v="5"/>
    <x v="1"/>
    <x v="23"/>
    <n v="0"/>
    <n v="0"/>
    <n v="0"/>
    <n v="0"/>
    <s v="No"/>
    <x v="0"/>
  </r>
  <r>
    <s v="alps"/>
    <n v="5"/>
    <x v="1"/>
    <x v="23"/>
    <n v="0"/>
    <n v="0"/>
    <n v="0"/>
    <n v="0"/>
    <s v="No"/>
    <x v="0"/>
  </r>
  <r>
    <s v="alps"/>
    <n v="5"/>
    <x v="1"/>
    <x v="23"/>
    <n v="0"/>
    <n v="0"/>
    <n v="0"/>
    <n v="0"/>
    <s v="No"/>
    <x v="0"/>
  </r>
  <r>
    <s v="alps"/>
    <n v="5"/>
    <x v="1"/>
    <x v="23"/>
    <n v="0"/>
    <n v="0"/>
    <n v="0"/>
    <n v="0"/>
    <s v="No"/>
    <x v="0"/>
  </r>
  <r>
    <s v="alps"/>
    <n v="5"/>
    <x v="1"/>
    <x v="23"/>
    <n v="0"/>
    <n v="0"/>
    <n v="0"/>
    <n v="0"/>
    <s v="No"/>
    <x v="0"/>
  </r>
  <r>
    <s v="alps"/>
    <n v="5"/>
    <x v="1"/>
    <x v="23"/>
    <n v="0"/>
    <n v="0"/>
    <n v="0"/>
    <n v="0"/>
    <s v="No"/>
    <x v="0"/>
  </r>
  <r>
    <s v="alps"/>
    <n v="5"/>
    <x v="1"/>
    <x v="23"/>
    <n v="0"/>
    <n v="0"/>
    <n v="0"/>
    <n v="0"/>
    <s v="No"/>
    <x v="0"/>
  </r>
  <r>
    <s v="alps"/>
    <n v="5"/>
    <x v="1"/>
    <x v="23"/>
    <n v="0"/>
    <n v="0"/>
    <n v="0"/>
    <n v="0"/>
    <s v="No"/>
    <x v="0"/>
  </r>
  <r>
    <s v="alps"/>
    <n v="5"/>
    <x v="1"/>
    <x v="23"/>
    <n v="0"/>
    <n v="0"/>
    <n v="0"/>
    <n v="0"/>
    <s v="No"/>
    <x v="0"/>
  </r>
  <r>
    <s v="alps"/>
    <n v="5"/>
    <x v="1"/>
    <x v="23"/>
    <n v="0"/>
    <n v="0"/>
    <n v="0"/>
    <n v="0"/>
    <s v="No"/>
    <x v="0"/>
  </r>
  <r>
    <s v="alps"/>
    <n v="5"/>
    <x v="1"/>
    <x v="23"/>
    <n v="0"/>
    <n v="0"/>
    <n v="0"/>
    <n v="0"/>
    <s v="No"/>
    <x v="0"/>
  </r>
  <r>
    <s v="alps"/>
    <n v="5"/>
    <x v="1"/>
    <x v="23"/>
    <n v="0"/>
    <n v="0"/>
    <n v="0"/>
    <n v="0"/>
    <s v="No"/>
    <x v="0"/>
  </r>
  <r>
    <s v="alps"/>
    <n v="5"/>
    <x v="1"/>
    <x v="23"/>
    <n v="0"/>
    <n v="0"/>
    <n v="0"/>
    <n v="0"/>
    <s v="No"/>
    <x v="0"/>
  </r>
  <r>
    <s v="alps"/>
    <n v="5"/>
    <x v="1"/>
    <x v="23"/>
    <n v="0"/>
    <n v="0"/>
    <n v="0"/>
    <n v="0"/>
    <s v="No"/>
    <x v="0"/>
  </r>
  <r>
    <s v="alps"/>
    <n v="5"/>
    <x v="1"/>
    <x v="23"/>
    <n v="0"/>
    <n v="0"/>
    <n v="0"/>
    <n v="0"/>
    <s v="No"/>
    <x v="0"/>
  </r>
  <r>
    <s v="alps"/>
    <n v="5"/>
    <x v="1"/>
    <x v="23"/>
    <n v="0"/>
    <n v="0"/>
    <n v="0"/>
    <n v="0"/>
    <s v="No"/>
    <x v="0"/>
  </r>
  <r>
    <s v="alps"/>
    <n v="5"/>
    <x v="1"/>
    <x v="23"/>
    <n v="0"/>
    <n v="0"/>
    <n v="0"/>
    <n v="0"/>
    <s v="No"/>
    <x v="0"/>
  </r>
  <r>
    <s v="alps"/>
    <n v="1"/>
    <x v="1"/>
    <x v="24"/>
    <n v="0"/>
    <n v="0"/>
    <n v="0"/>
    <n v="0"/>
    <s v="No"/>
    <x v="0"/>
  </r>
  <r>
    <s v="alps"/>
    <n v="1"/>
    <x v="1"/>
    <x v="24"/>
    <n v="0"/>
    <n v="0"/>
    <n v="0"/>
    <n v="0"/>
    <s v="No"/>
    <x v="0"/>
  </r>
  <r>
    <s v="alps"/>
    <n v="1"/>
    <x v="1"/>
    <x v="24"/>
    <n v="0"/>
    <n v="0"/>
    <n v="0"/>
    <n v="0"/>
    <s v="No"/>
    <x v="0"/>
  </r>
  <r>
    <s v="alps"/>
    <n v="1"/>
    <x v="1"/>
    <x v="24"/>
    <n v="0"/>
    <n v="0"/>
    <n v="0"/>
    <n v="0"/>
    <s v="No"/>
    <x v="0"/>
  </r>
  <r>
    <s v="alps"/>
    <n v="1"/>
    <x v="1"/>
    <x v="24"/>
    <n v="0"/>
    <n v="0"/>
    <n v="0"/>
    <n v="0"/>
    <s v="No"/>
    <x v="0"/>
  </r>
  <r>
    <s v="alps"/>
    <n v="1"/>
    <x v="1"/>
    <x v="24"/>
    <n v="0"/>
    <n v="0"/>
    <n v="0"/>
    <n v="0"/>
    <s v="No"/>
    <x v="0"/>
  </r>
  <r>
    <s v="alps"/>
    <n v="1"/>
    <x v="1"/>
    <x v="24"/>
    <n v="0"/>
    <n v="0"/>
    <n v="0"/>
    <n v="0"/>
    <s v="No"/>
    <x v="0"/>
  </r>
  <r>
    <s v="alps"/>
    <n v="6"/>
    <x v="0"/>
    <x v="25"/>
    <n v="0"/>
    <n v="0"/>
    <n v="0"/>
    <n v="0"/>
    <s v="No"/>
    <x v="0"/>
  </r>
  <r>
    <s v="alps"/>
    <n v="6"/>
    <x v="0"/>
    <x v="25"/>
    <n v="0"/>
    <n v="0"/>
    <n v="0"/>
    <n v="0"/>
    <s v="No"/>
    <x v="0"/>
  </r>
  <r>
    <s v="alps"/>
    <n v="6"/>
    <x v="0"/>
    <x v="25"/>
    <n v="0"/>
    <n v="0"/>
    <n v="0"/>
    <n v="0"/>
    <s v="No"/>
    <x v="0"/>
  </r>
  <r>
    <s v="alps"/>
    <n v="6"/>
    <x v="0"/>
    <x v="25"/>
    <n v="0"/>
    <n v="0"/>
    <n v="0"/>
    <n v="0"/>
    <s v="No"/>
    <x v="0"/>
  </r>
  <r>
    <s v="alps"/>
    <n v="6"/>
    <x v="0"/>
    <x v="25"/>
    <n v="0"/>
    <n v="0"/>
    <n v="0"/>
    <n v="0"/>
    <s v="No"/>
    <x v="0"/>
  </r>
  <r>
    <s v="alps"/>
    <n v="6"/>
    <x v="1"/>
    <x v="26"/>
    <n v="0"/>
    <n v="0"/>
    <n v="0"/>
    <n v="0"/>
    <s v="No"/>
    <x v="0"/>
  </r>
  <r>
    <s v="alps"/>
    <n v="6"/>
    <x v="1"/>
    <x v="26"/>
    <n v="0"/>
    <n v="0"/>
    <n v="0"/>
    <n v="0"/>
    <s v="No"/>
    <x v="0"/>
  </r>
  <r>
    <s v="alps"/>
    <n v="6"/>
    <x v="1"/>
    <x v="26"/>
    <n v="0"/>
    <n v="0"/>
    <n v="0"/>
    <n v="0"/>
    <s v="No"/>
    <x v="0"/>
  </r>
  <r>
    <s v="alps"/>
    <n v="6"/>
    <x v="1"/>
    <x v="26"/>
    <n v="0"/>
    <n v="0"/>
    <n v="0"/>
    <n v="0"/>
    <s v="No"/>
    <x v="0"/>
  </r>
  <r>
    <s v="alps"/>
    <n v="6"/>
    <x v="1"/>
    <x v="26"/>
    <n v="0"/>
    <n v="0"/>
    <n v="0"/>
    <n v="0"/>
    <s v="No"/>
    <x v="0"/>
  </r>
  <r>
    <s v="alps"/>
    <n v="6"/>
    <x v="1"/>
    <x v="26"/>
    <n v="0"/>
    <n v="0"/>
    <n v="0"/>
    <n v="0"/>
    <s v="No"/>
    <x v="0"/>
  </r>
  <r>
    <s v="alps"/>
    <n v="6"/>
    <x v="1"/>
    <x v="26"/>
    <n v="0"/>
    <n v="0"/>
    <n v="0"/>
    <n v="0"/>
    <s v="No"/>
    <x v="0"/>
  </r>
  <r>
    <s v="alps"/>
    <n v="6"/>
    <x v="1"/>
    <x v="26"/>
    <n v="0"/>
    <n v="0"/>
    <n v="0"/>
    <n v="0"/>
    <s v="No"/>
    <x v="0"/>
  </r>
  <r>
    <s v="alps"/>
    <n v="6"/>
    <x v="1"/>
    <x v="26"/>
    <n v="0"/>
    <n v="0"/>
    <n v="0"/>
    <n v="0"/>
    <s v="No"/>
    <x v="0"/>
  </r>
  <r>
    <s v="alps"/>
    <n v="6"/>
    <x v="1"/>
    <x v="26"/>
    <n v="0"/>
    <n v="0"/>
    <n v="0"/>
    <n v="0"/>
    <s v="No"/>
    <x v="0"/>
  </r>
  <r>
    <s v="alps"/>
    <n v="6"/>
    <x v="1"/>
    <x v="26"/>
    <n v="0"/>
    <n v="0"/>
    <n v="0"/>
    <n v="0"/>
    <s v="No"/>
    <x v="0"/>
  </r>
  <r>
    <s v="alps"/>
    <n v="6"/>
    <x v="1"/>
    <x v="26"/>
    <n v="0"/>
    <n v="0"/>
    <n v="0"/>
    <n v="0"/>
    <s v="No"/>
    <x v="0"/>
  </r>
  <r>
    <s v="alps"/>
    <n v="6"/>
    <x v="1"/>
    <x v="26"/>
    <n v="0"/>
    <n v="0"/>
    <n v="0"/>
    <n v="0"/>
    <s v="No"/>
    <x v="0"/>
  </r>
  <r>
    <s v="alps"/>
    <n v="6"/>
    <x v="1"/>
    <x v="26"/>
    <n v="0"/>
    <n v="0"/>
    <n v="0"/>
    <n v="0"/>
    <s v="No"/>
    <x v="0"/>
  </r>
  <r>
    <s v="alps"/>
    <n v="6"/>
    <x v="1"/>
    <x v="26"/>
    <n v="0"/>
    <n v="0"/>
    <n v="0"/>
    <n v="0"/>
    <s v="No"/>
    <x v="0"/>
  </r>
  <r>
    <s v="alps"/>
    <n v="6"/>
    <x v="1"/>
    <x v="26"/>
    <n v="0"/>
    <n v="0"/>
    <n v="0"/>
    <n v="0"/>
    <s v="No"/>
    <x v="0"/>
  </r>
  <r>
    <s v="alps"/>
    <n v="6"/>
    <x v="1"/>
    <x v="26"/>
    <n v="0"/>
    <n v="0"/>
    <n v="0"/>
    <n v="0"/>
    <s v="No"/>
    <x v="0"/>
  </r>
  <r>
    <s v="alps"/>
    <n v="6"/>
    <x v="1"/>
    <x v="26"/>
    <n v="0"/>
    <n v="0"/>
    <n v="0"/>
    <n v="0"/>
    <s v="No"/>
    <x v="0"/>
  </r>
  <r>
    <s v="cockatoo"/>
    <n v="8"/>
    <x v="1"/>
    <x v="27"/>
    <n v="0"/>
    <n v="0"/>
    <n v="0"/>
    <n v="0"/>
    <s v="No"/>
    <x v="0"/>
  </r>
  <r>
    <s v="cockatoo"/>
    <n v="10"/>
    <x v="0"/>
    <x v="28"/>
    <n v="0"/>
    <n v="0"/>
    <n v="0"/>
    <n v="0"/>
    <s v="No"/>
    <x v="0"/>
  </r>
  <r>
    <s v="cockatoo"/>
    <n v="10"/>
    <x v="0"/>
    <x v="28"/>
    <n v="0"/>
    <n v="0"/>
    <n v="0"/>
    <n v="0"/>
    <s v="No"/>
    <x v="0"/>
  </r>
  <r>
    <s v="cockatoo"/>
    <n v="10"/>
    <x v="0"/>
    <x v="28"/>
    <n v="0"/>
    <n v="0"/>
    <n v="0"/>
    <n v="0"/>
    <s v="No"/>
    <x v="0"/>
  </r>
  <r>
    <s v="cockatoo"/>
    <n v="10"/>
    <x v="1"/>
    <x v="29"/>
    <n v="0"/>
    <n v="0"/>
    <n v="0"/>
    <n v="0"/>
    <s v="No"/>
    <x v="0"/>
  </r>
  <r>
    <s v="cockatoo"/>
    <n v="10"/>
    <x v="1"/>
    <x v="29"/>
    <n v="0"/>
    <n v="0"/>
    <n v="0"/>
    <n v="0"/>
    <s v="No"/>
    <x v="0"/>
  </r>
  <r>
    <s v="cockatoo"/>
    <n v="11"/>
    <x v="0"/>
    <x v="30"/>
    <n v="0"/>
    <n v="0"/>
    <n v="0"/>
    <n v="0"/>
    <s v="No"/>
    <x v="0"/>
  </r>
  <r>
    <s v="cockatoo"/>
    <n v="11"/>
    <x v="0"/>
    <x v="30"/>
    <n v="0"/>
    <n v="0"/>
    <n v="0"/>
    <n v="0"/>
    <s v="No"/>
    <x v="0"/>
  </r>
  <r>
    <s v="cockatoo"/>
    <n v="11"/>
    <x v="1"/>
    <x v="31"/>
    <n v="0"/>
    <n v="0"/>
    <n v="0"/>
    <n v="0"/>
    <s v="No"/>
    <x v="0"/>
  </r>
  <r>
    <s v="cockatoo"/>
    <n v="11"/>
    <x v="1"/>
    <x v="31"/>
    <n v="0"/>
    <n v="0"/>
    <n v="0"/>
    <n v="0"/>
    <s v="No"/>
    <x v="0"/>
  </r>
  <r>
    <s v="cockatoo"/>
    <n v="11"/>
    <x v="1"/>
    <x v="31"/>
    <n v="0"/>
    <n v="0"/>
    <n v="0"/>
    <n v="0"/>
    <s v="No"/>
    <x v="0"/>
  </r>
  <r>
    <s v="cockatoo"/>
    <n v="11"/>
    <x v="1"/>
    <x v="31"/>
    <n v="0"/>
    <n v="0"/>
    <n v="0"/>
    <n v="0"/>
    <s v="No"/>
    <x v="0"/>
  </r>
  <r>
    <s v="cockatoo"/>
    <n v="11"/>
    <x v="1"/>
    <x v="31"/>
    <n v="0"/>
    <n v="0"/>
    <n v="0"/>
    <n v="0"/>
    <s v="No"/>
    <x v="0"/>
  </r>
  <r>
    <s v="cockatoo"/>
    <n v="11"/>
    <x v="1"/>
    <x v="31"/>
    <n v="0"/>
    <n v="0"/>
    <n v="0"/>
    <n v="0"/>
    <s v="No"/>
    <x v="0"/>
  </r>
  <r>
    <s v="cockatoo"/>
    <n v="11"/>
    <x v="1"/>
    <x v="31"/>
    <n v="0"/>
    <n v="0"/>
    <n v="0"/>
    <n v="0"/>
    <s v="No"/>
    <x v="0"/>
  </r>
  <r>
    <s v="falls"/>
    <n v="5"/>
    <x v="0"/>
    <x v="12"/>
    <n v="1"/>
    <n v="0"/>
    <n v="1"/>
    <n v="1.4"/>
    <s v="No"/>
    <x v="1"/>
  </r>
  <r>
    <s v="quail"/>
    <n v="4"/>
    <x v="1"/>
    <x v="21"/>
    <n v="2"/>
    <n v="0"/>
    <n v="2"/>
    <n v="6.3"/>
    <s v="No"/>
    <x v="1"/>
  </r>
  <r>
    <s v="superblock"/>
    <n v="1"/>
    <x v="1"/>
    <x v="1"/>
    <n v="3"/>
    <n v="3"/>
    <n v="0"/>
    <n v="0"/>
    <s v="No"/>
    <x v="1"/>
  </r>
  <r>
    <s v="superblock"/>
    <n v="4"/>
    <x v="0"/>
    <x v="6"/>
    <n v="3"/>
    <n v="0"/>
    <n v="3"/>
    <n v="8"/>
    <s v="No"/>
    <x v="1"/>
  </r>
  <r>
    <s v="falls"/>
    <n v="1"/>
    <x v="1"/>
    <x v="9"/>
    <n v="3"/>
    <n v="0"/>
    <n v="3"/>
    <n v="1.1000000000000001"/>
    <s v="No"/>
    <x v="1"/>
  </r>
  <r>
    <s v="falls"/>
    <n v="2"/>
    <x v="1"/>
    <x v="11"/>
    <n v="3"/>
    <n v="0"/>
    <n v="3"/>
    <n v="1.5"/>
    <s v="No"/>
    <x v="1"/>
  </r>
  <r>
    <s v="falls"/>
    <n v="2"/>
    <x v="1"/>
    <x v="11"/>
    <n v="3"/>
    <n v="3"/>
    <n v="0"/>
    <n v="0"/>
    <s v="No"/>
    <x v="1"/>
  </r>
  <r>
    <s v="falls"/>
    <n v="2"/>
    <x v="1"/>
    <x v="11"/>
    <n v="3"/>
    <n v="0"/>
    <n v="3"/>
    <n v="0.3"/>
    <s v="No"/>
    <x v="1"/>
  </r>
  <r>
    <s v="falls"/>
    <n v="5"/>
    <x v="1"/>
    <x v="13"/>
    <n v="3"/>
    <n v="3"/>
    <n v="0"/>
    <n v="0"/>
    <s v="No"/>
    <x v="1"/>
  </r>
  <r>
    <s v="falls"/>
    <n v="4"/>
    <x v="0"/>
    <x v="16"/>
    <n v="3"/>
    <n v="3"/>
    <n v="0"/>
    <n v="0"/>
    <s v="No"/>
    <x v="1"/>
  </r>
  <r>
    <s v="falls"/>
    <n v="4"/>
    <x v="0"/>
    <x v="16"/>
    <n v="3"/>
    <n v="0"/>
    <n v="3"/>
    <n v="7.4"/>
    <s v="No"/>
    <x v="1"/>
  </r>
  <r>
    <s v="falls"/>
    <n v="4"/>
    <x v="1"/>
    <x v="17"/>
    <n v="3"/>
    <n v="3"/>
    <n v="0"/>
    <n v="0"/>
    <s v="No"/>
    <x v="1"/>
  </r>
  <r>
    <s v="falls"/>
    <n v="4"/>
    <x v="1"/>
    <x v="17"/>
    <n v="3"/>
    <n v="0"/>
    <n v="3"/>
    <n v="5.9"/>
    <s v="No"/>
    <x v="1"/>
  </r>
  <r>
    <s v="quail"/>
    <n v="1"/>
    <x v="0"/>
    <x v="18"/>
    <n v="3"/>
    <n v="3"/>
    <n v="0"/>
    <n v="0"/>
    <s v="No"/>
    <x v="1"/>
  </r>
  <r>
    <s v="quail"/>
    <n v="4"/>
    <x v="0"/>
    <x v="20"/>
    <n v="3"/>
    <n v="3"/>
    <n v="0"/>
    <n v="0"/>
    <s v="No"/>
    <x v="1"/>
  </r>
  <r>
    <s v="quail"/>
    <n v="4"/>
    <x v="0"/>
    <x v="20"/>
    <n v="3"/>
    <n v="3"/>
    <n v="0"/>
    <n v="0"/>
    <s v="No"/>
    <x v="1"/>
  </r>
  <r>
    <s v="quail"/>
    <n v="4"/>
    <x v="0"/>
    <x v="20"/>
    <n v="3"/>
    <n v="0"/>
    <n v="3"/>
    <n v="4"/>
    <s v="No"/>
    <x v="1"/>
  </r>
  <r>
    <s v="quail"/>
    <n v="4"/>
    <x v="1"/>
    <x v="21"/>
    <n v="3"/>
    <n v="3"/>
    <n v="0"/>
    <n v="0"/>
    <s v="No"/>
    <x v="1"/>
  </r>
  <r>
    <s v="alps"/>
    <n v="5"/>
    <x v="1"/>
    <x v="23"/>
    <n v="3"/>
    <n v="0"/>
    <n v="3"/>
    <n v="2.4"/>
    <s v="No"/>
    <x v="1"/>
  </r>
  <r>
    <s v="alps"/>
    <n v="5"/>
    <x v="1"/>
    <x v="23"/>
    <n v="3"/>
    <n v="3"/>
    <n v="0"/>
    <n v="0"/>
    <s v="No"/>
    <x v="1"/>
  </r>
  <r>
    <s v="alps"/>
    <n v="5"/>
    <x v="1"/>
    <x v="23"/>
    <n v="3"/>
    <n v="3"/>
    <n v="0"/>
    <n v="0"/>
    <s v="No"/>
    <x v="1"/>
  </r>
  <r>
    <s v="alps"/>
    <n v="6"/>
    <x v="1"/>
    <x v="26"/>
    <n v="3"/>
    <n v="0"/>
    <n v="3"/>
    <n v="5.0999999999999996"/>
    <s v="No"/>
    <x v="1"/>
  </r>
  <r>
    <s v="cockatoo"/>
    <n v="10"/>
    <x v="1"/>
    <x v="29"/>
    <n v="3"/>
    <n v="3"/>
    <n v="0"/>
    <n v="0"/>
    <s v="No"/>
    <x v="1"/>
  </r>
  <r>
    <s v="superblock"/>
    <n v="1"/>
    <x v="1"/>
    <x v="1"/>
    <n v="4"/>
    <n v="0"/>
    <n v="4"/>
    <n v="3.6"/>
    <s v="No"/>
    <x v="1"/>
  </r>
  <r>
    <s v="superblock"/>
    <n v="1"/>
    <x v="1"/>
    <x v="1"/>
    <n v="4"/>
    <n v="4"/>
    <n v="0"/>
    <n v="0"/>
    <s v="No"/>
    <x v="1"/>
  </r>
  <r>
    <s v="superblock"/>
    <n v="1"/>
    <x v="1"/>
    <x v="1"/>
    <n v="4"/>
    <n v="0"/>
    <n v="4"/>
    <n v="2"/>
    <s v="No"/>
    <x v="1"/>
  </r>
  <r>
    <s v="superblock"/>
    <n v="1"/>
    <x v="1"/>
    <x v="1"/>
    <n v="4"/>
    <n v="0"/>
    <n v="4"/>
    <n v="1.3"/>
    <s v="No"/>
    <x v="1"/>
  </r>
  <r>
    <s v="superblock"/>
    <n v="2"/>
    <x v="0"/>
    <x v="2"/>
    <n v="4"/>
    <n v="4"/>
    <n v="0"/>
    <n v="0"/>
    <s v="No"/>
    <x v="1"/>
  </r>
  <r>
    <s v="superblock"/>
    <n v="2"/>
    <x v="0"/>
    <x v="2"/>
    <n v="4"/>
    <n v="4"/>
    <n v="0"/>
    <n v="0"/>
    <s v="No"/>
    <x v="1"/>
  </r>
  <r>
    <s v="superblock"/>
    <n v="2"/>
    <x v="0"/>
    <x v="2"/>
    <n v="4"/>
    <n v="4"/>
    <n v="0"/>
    <n v="0"/>
    <s v="No"/>
    <x v="1"/>
  </r>
  <r>
    <s v="superblock"/>
    <n v="2"/>
    <x v="0"/>
    <x v="2"/>
    <n v="4"/>
    <n v="0"/>
    <n v="4"/>
    <n v="4"/>
    <s v="No"/>
    <x v="1"/>
  </r>
  <r>
    <s v="superblock"/>
    <n v="3"/>
    <x v="0"/>
    <x v="4"/>
    <n v="4"/>
    <n v="0"/>
    <n v="4"/>
    <n v="5.2"/>
    <s v="No"/>
    <x v="1"/>
  </r>
  <r>
    <s v="superblock"/>
    <n v="3"/>
    <x v="0"/>
    <x v="4"/>
    <n v="4"/>
    <n v="0"/>
    <n v="4"/>
    <n v="6.5"/>
    <s v="No"/>
    <x v="1"/>
  </r>
  <r>
    <s v="superblock"/>
    <n v="3"/>
    <x v="0"/>
    <x v="4"/>
    <n v="4"/>
    <n v="0"/>
    <n v="4"/>
    <n v="3.4"/>
    <s v="No"/>
    <x v="1"/>
  </r>
  <r>
    <s v="superblock"/>
    <n v="3"/>
    <x v="1"/>
    <x v="5"/>
    <n v="4"/>
    <n v="0"/>
    <n v="4"/>
    <n v="5.5"/>
    <s v="No"/>
    <x v="1"/>
  </r>
  <r>
    <s v="superblock"/>
    <n v="4"/>
    <x v="0"/>
    <x v="6"/>
    <n v="4"/>
    <n v="0"/>
    <n v="4"/>
    <n v="4.2"/>
    <s v="No"/>
    <x v="1"/>
  </r>
  <r>
    <s v="superblock"/>
    <n v="4"/>
    <x v="0"/>
    <x v="6"/>
    <n v="4"/>
    <n v="0"/>
    <n v="4"/>
    <n v="8"/>
    <s v="No"/>
    <x v="1"/>
  </r>
  <r>
    <s v="superblock"/>
    <n v="4"/>
    <x v="0"/>
    <x v="6"/>
    <n v="4"/>
    <n v="0"/>
    <n v="4"/>
    <n v="8.6999999999999993"/>
    <s v="No"/>
    <x v="1"/>
  </r>
  <r>
    <s v="falls"/>
    <n v="1"/>
    <x v="0"/>
    <x v="8"/>
    <n v="4"/>
    <n v="0"/>
    <n v="4"/>
    <n v="1.7"/>
    <s v="No"/>
    <x v="1"/>
  </r>
  <r>
    <s v="falls"/>
    <n v="1"/>
    <x v="1"/>
    <x v="9"/>
    <n v="4"/>
    <n v="0"/>
    <n v="4"/>
    <n v="2.1"/>
    <s v="No"/>
    <x v="1"/>
  </r>
  <r>
    <s v="falls"/>
    <n v="1"/>
    <x v="1"/>
    <x v="9"/>
    <n v="4"/>
    <n v="4"/>
    <n v="0"/>
    <n v="0"/>
    <s v="No"/>
    <x v="1"/>
  </r>
  <r>
    <s v="falls"/>
    <n v="2"/>
    <x v="1"/>
    <x v="11"/>
    <n v="4"/>
    <n v="0"/>
    <n v="4"/>
    <n v="2"/>
    <s v="No"/>
    <x v="1"/>
  </r>
  <r>
    <s v="falls"/>
    <n v="2"/>
    <x v="1"/>
    <x v="11"/>
    <n v="4"/>
    <n v="4"/>
    <n v="0"/>
    <n v="0"/>
    <s v="No"/>
    <x v="1"/>
  </r>
  <r>
    <s v="falls"/>
    <n v="2"/>
    <x v="1"/>
    <x v="11"/>
    <n v="4"/>
    <n v="4"/>
    <n v="0"/>
    <n v="0"/>
    <s v="No"/>
    <x v="1"/>
  </r>
  <r>
    <s v="falls"/>
    <n v="2"/>
    <x v="1"/>
    <x v="11"/>
    <n v="4"/>
    <n v="0"/>
    <n v="4"/>
    <n v="1.5"/>
    <s v="No"/>
    <x v="1"/>
  </r>
  <r>
    <s v="falls"/>
    <n v="5"/>
    <x v="1"/>
    <x v="13"/>
    <n v="4"/>
    <n v="4"/>
    <n v="0"/>
    <n v="0"/>
    <s v="No"/>
    <x v="1"/>
  </r>
  <r>
    <s v="falls"/>
    <n v="3"/>
    <x v="0"/>
    <x v="14"/>
    <n v="4"/>
    <n v="4"/>
    <n v="0"/>
    <n v="0"/>
    <s v="No"/>
    <x v="1"/>
  </r>
  <r>
    <s v="falls"/>
    <n v="3"/>
    <x v="0"/>
    <x v="14"/>
    <n v="4"/>
    <n v="4"/>
    <n v="0"/>
    <n v="0"/>
    <s v="No"/>
    <x v="1"/>
  </r>
  <r>
    <s v="falls"/>
    <n v="3"/>
    <x v="0"/>
    <x v="14"/>
    <n v="4"/>
    <n v="0"/>
    <n v="4"/>
    <n v="10.3"/>
    <s v="No"/>
    <x v="1"/>
  </r>
  <r>
    <s v="falls"/>
    <n v="3"/>
    <x v="1"/>
    <x v="15"/>
    <n v="4"/>
    <n v="0"/>
    <n v="4"/>
    <n v="3.6"/>
    <s v="No"/>
    <x v="1"/>
  </r>
  <r>
    <s v="falls"/>
    <n v="3"/>
    <x v="1"/>
    <x v="15"/>
    <n v="4"/>
    <n v="4"/>
    <n v="0"/>
    <n v="0"/>
    <s v="No"/>
    <x v="1"/>
  </r>
  <r>
    <s v="falls"/>
    <n v="3"/>
    <x v="1"/>
    <x v="15"/>
    <n v="4"/>
    <n v="4"/>
    <n v="0"/>
    <n v="0"/>
    <s v="No"/>
    <x v="1"/>
  </r>
  <r>
    <s v="falls"/>
    <n v="3"/>
    <x v="1"/>
    <x v="15"/>
    <n v="4"/>
    <n v="0"/>
    <n v="4"/>
    <n v="5.6"/>
    <s v="No"/>
    <x v="1"/>
  </r>
  <r>
    <s v="falls"/>
    <n v="4"/>
    <x v="0"/>
    <x v="16"/>
    <n v="4"/>
    <n v="4"/>
    <n v="0"/>
    <n v="0"/>
    <s v="No"/>
    <x v="1"/>
  </r>
  <r>
    <s v="falls"/>
    <n v="4"/>
    <x v="0"/>
    <x v="16"/>
    <n v="4"/>
    <n v="4"/>
    <n v="0"/>
    <n v="0"/>
    <s v="No"/>
    <x v="1"/>
  </r>
  <r>
    <s v="quail"/>
    <n v="1"/>
    <x v="0"/>
    <x v="18"/>
    <n v="4"/>
    <n v="0"/>
    <n v="4"/>
    <n v="11"/>
    <s v="No"/>
    <x v="1"/>
  </r>
  <r>
    <s v="quail"/>
    <n v="1"/>
    <x v="0"/>
    <x v="18"/>
    <n v="4"/>
    <n v="4"/>
    <n v="0"/>
    <n v="0"/>
    <s v="No"/>
    <x v="1"/>
  </r>
  <r>
    <s v="quail"/>
    <n v="4"/>
    <x v="0"/>
    <x v="20"/>
    <n v="4"/>
    <n v="0"/>
    <n v="4"/>
    <n v="3.4"/>
    <s v="No"/>
    <x v="1"/>
  </r>
  <r>
    <s v="quail"/>
    <n v="4"/>
    <x v="0"/>
    <x v="20"/>
    <n v="4"/>
    <n v="4"/>
    <n v="0"/>
    <n v="0"/>
    <s v="No"/>
    <x v="1"/>
  </r>
  <r>
    <s v="quail"/>
    <n v="4"/>
    <x v="0"/>
    <x v="20"/>
    <n v="4"/>
    <n v="4"/>
    <n v="0"/>
    <n v="0"/>
    <s v="No"/>
    <x v="1"/>
  </r>
  <r>
    <s v="quail"/>
    <n v="4"/>
    <x v="1"/>
    <x v="21"/>
    <n v="4"/>
    <n v="4"/>
    <n v="0"/>
    <n v="0"/>
    <s v="No"/>
    <x v="1"/>
  </r>
  <r>
    <s v="quail"/>
    <n v="4"/>
    <x v="1"/>
    <x v="21"/>
    <n v="4"/>
    <n v="4"/>
    <n v="0"/>
    <n v="0"/>
    <s v="No"/>
    <x v="1"/>
  </r>
  <r>
    <s v="alps"/>
    <n v="5"/>
    <x v="1"/>
    <x v="23"/>
    <n v="4"/>
    <n v="4"/>
    <n v="0"/>
    <n v="0"/>
    <s v="No"/>
    <x v="1"/>
  </r>
  <r>
    <s v="alps"/>
    <n v="5"/>
    <x v="1"/>
    <x v="23"/>
    <n v="4"/>
    <n v="0"/>
    <n v="4"/>
    <n v="2.7"/>
    <s v="No"/>
    <x v="1"/>
  </r>
  <r>
    <s v="alps"/>
    <n v="5"/>
    <x v="1"/>
    <x v="23"/>
    <n v="4"/>
    <n v="0"/>
    <n v="4"/>
    <n v="4.5999999999999996"/>
    <s v="No"/>
    <x v="1"/>
  </r>
  <r>
    <s v="alps"/>
    <n v="5"/>
    <x v="1"/>
    <x v="23"/>
    <n v="4"/>
    <n v="4"/>
    <n v="0"/>
    <n v="0"/>
    <s v="No"/>
    <x v="1"/>
  </r>
  <r>
    <s v="alps"/>
    <n v="1"/>
    <x v="1"/>
    <x v="24"/>
    <n v="4"/>
    <n v="4"/>
    <n v="0"/>
    <n v="0"/>
    <s v="No"/>
    <x v="1"/>
  </r>
  <r>
    <s v="cockatoo"/>
    <n v="10"/>
    <x v="0"/>
    <x v="28"/>
    <n v="4"/>
    <n v="0"/>
    <n v="4"/>
    <n v="0.3"/>
    <s v="No"/>
    <x v="1"/>
  </r>
  <r>
    <s v="cockatoo"/>
    <n v="11"/>
    <x v="1"/>
    <x v="31"/>
    <n v="4"/>
    <n v="4"/>
    <n v="0"/>
    <n v="0"/>
    <s v="No"/>
    <x v="1"/>
  </r>
  <r>
    <s v="superblock"/>
    <n v="1"/>
    <x v="0"/>
    <x v="0"/>
    <n v="5"/>
    <n v="0"/>
    <n v="5"/>
    <n v="7.4"/>
    <s v="No"/>
    <x v="1"/>
  </r>
  <r>
    <s v="superblock"/>
    <n v="2"/>
    <x v="1"/>
    <x v="3"/>
    <n v="5"/>
    <n v="0"/>
    <n v="5"/>
    <n v="1.5"/>
    <s v="No"/>
    <x v="1"/>
  </r>
  <r>
    <s v="superblock"/>
    <n v="3"/>
    <x v="0"/>
    <x v="4"/>
    <n v="5"/>
    <n v="0"/>
    <n v="5"/>
    <n v="8.6"/>
    <s v="No"/>
    <x v="1"/>
  </r>
  <r>
    <s v="superblock"/>
    <n v="3"/>
    <x v="1"/>
    <x v="5"/>
    <n v="5"/>
    <n v="0"/>
    <n v="5"/>
    <n v="4.5999999999999996"/>
    <s v="No"/>
    <x v="1"/>
  </r>
  <r>
    <s v="superblock"/>
    <n v="4"/>
    <x v="0"/>
    <x v="6"/>
    <n v="5"/>
    <n v="0"/>
    <n v="5"/>
    <n v="8.5"/>
    <s v="No"/>
    <x v="1"/>
  </r>
  <r>
    <s v="superblock"/>
    <n v="4"/>
    <x v="0"/>
    <x v="6"/>
    <n v="5"/>
    <n v="0"/>
    <n v="5"/>
    <n v="4.0999999999999996"/>
    <s v="No"/>
    <x v="1"/>
  </r>
  <r>
    <s v="superblock"/>
    <n v="4"/>
    <x v="0"/>
    <x v="6"/>
    <n v="5"/>
    <n v="0"/>
    <n v="5"/>
    <n v="5.6"/>
    <s v="No"/>
    <x v="1"/>
  </r>
  <r>
    <s v="falls"/>
    <n v="1"/>
    <x v="0"/>
    <x v="8"/>
    <n v="5"/>
    <n v="0"/>
    <n v="5"/>
    <n v="5"/>
    <s v="No"/>
    <x v="1"/>
  </r>
  <r>
    <s v="falls"/>
    <n v="1"/>
    <x v="1"/>
    <x v="9"/>
    <n v="5"/>
    <n v="0"/>
    <n v="5"/>
    <n v="3.5"/>
    <s v="No"/>
    <x v="1"/>
  </r>
  <r>
    <s v="falls"/>
    <n v="2"/>
    <x v="0"/>
    <x v="10"/>
    <n v="5"/>
    <n v="0"/>
    <n v="5"/>
    <n v="2.5"/>
    <s v="No"/>
    <x v="1"/>
  </r>
  <r>
    <s v="falls"/>
    <n v="2"/>
    <x v="1"/>
    <x v="11"/>
    <n v="5"/>
    <n v="0"/>
    <n v="5"/>
    <n v="1"/>
    <s v="No"/>
    <x v="1"/>
  </r>
  <r>
    <s v="falls"/>
    <n v="2"/>
    <x v="1"/>
    <x v="11"/>
    <n v="5"/>
    <n v="5"/>
    <n v="0"/>
    <n v="0"/>
    <s v="No"/>
    <x v="1"/>
  </r>
  <r>
    <s v="falls"/>
    <n v="2"/>
    <x v="1"/>
    <x v="11"/>
    <n v="5"/>
    <n v="0"/>
    <n v="5"/>
    <n v="2"/>
    <s v="No"/>
    <x v="1"/>
  </r>
  <r>
    <s v="falls"/>
    <n v="2"/>
    <x v="1"/>
    <x v="11"/>
    <n v="5"/>
    <n v="0"/>
    <n v="5"/>
    <n v="0.9"/>
    <s v="No"/>
    <x v="1"/>
  </r>
  <r>
    <s v="falls"/>
    <n v="2"/>
    <x v="1"/>
    <x v="11"/>
    <n v="5"/>
    <n v="0"/>
    <n v="5"/>
    <n v="2"/>
    <s v="No"/>
    <x v="1"/>
  </r>
  <r>
    <s v="falls"/>
    <n v="2"/>
    <x v="1"/>
    <x v="11"/>
    <n v="5"/>
    <n v="0"/>
    <n v="5"/>
    <n v="0.4"/>
    <s v="No"/>
    <x v="1"/>
  </r>
  <r>
    <s v="falls"/>
    <n v="5"/>
    <x v="0"/>
    <x v="12"/>
    <n v="5"/>
    <n v="0"/>
    <n v="5"/>
    <n v="4.4000000000000004"/>
    <s v="No"/>
    <x v="1"/>
  </r>
  <r>
    <s v="falls"/>
    <n v="5"/>
    <x v="1"/>
    <x v="13"/>
    <n v="5"/>
    <n v="0"/>
    <n v="5"/>
    <n v="8.6"/>
    <s v="No"/>
    <x v="1"/>
  </r>
  <r>
    <s v="falls"/>
    <n v="5"/>
    <x v="1"/>
    <x v="13"/>
    <n v="5"/>
    <n v="5"/>
    <n v="0"/>
    <n v="0"/>
    <s v="No"/>
    <x v="1"/>
  </r>
  <r>
    <s v="falls"/>
    <n v="3"/>
    <x v="0"/>
    <x v="14"/>
    <n v="5"/>
    <n v="0"/>
    <n v="5"/>
    <n v="0.5"/>
    <s v="No"/>
    <x v="1"/>
  </r>
  <r>
    <s v="falls"/>
    <n v="3"/>
    <x v="0"/>
    <x v="14"/>
    <n v="5"/>
    <n v="0"/>
    <n v="5"/>
    <n v="7.2"/>
    <s v="No"/>
    <x v="1"/>
  </r>
  <r>
    <s v="falls"/>
    <n v="3"/>
    <x v="0"/>
    <x v="14"/>
    <n v="5"/>
    <n v="0"/>
    <n v="5"/>
    <n v="7"/>
    <s v="No"/>
    <x v="1"/>
  </r>
  <r>
    <s v="falls"/>
    <n v="3"/>
    <x v="1"/>
    <x v="15"/>
    <n v="5"/>
    <n v="0"/>
    <n v="5"/>
    <n v="3.5"/>
    <s v="No"/>
    <x v="1"/>
  </r>
  <r>
    <s v="quail"/>
    <n v="1"/>
    <x v="0"/>
    <x v="18"/>
    <n v="5"/>
    <n v="0"/>
    <n v="5"/>
    <n v="1.3"/>
    <s v="No"/>
    <x v="1"/>
  </r>
  <r>
    <s v="quail"/>
    <n v="1"/>
    <x v="0"/>
    <x v="18"/>
    <n v="5"/>
    <n v="5"/>
    <n v="0"/>
    <n v="0"/>
    <s v="No"/>
    <x v="1"/>
  </r>
  <r>
    <s v="quail"/>
    <n v="1"/>
    <x v="1"/>
    <x v="19"/>
    <n v="5"/>
    <n v="5"/>
    <n v="0"/>
    <n v="0"/>
    <s v="No"/>
    <x v="1"/>
  </r>
  <r>
    <s v="quail"/>
    <n v="4"/>
    <x v="0"/>
    <x v="20"/>
    <n v="5"/>
    <n v="5"/>
    <n v="0"/>
    <n v="0"/>
    <s v="No"/>
    <x v="1"/>
  </r>
  <r>
    <s v="quail"/>
    <n v="4"/>
    <x v="1"/>
    <x v="21"/>
    <n v="5"/>
    <n v="5"/>
    <n v="0"/>
    <n v="0"/>
    <s v="No"/>
    <x v="1"/>
  </r>
  <r>
    <s v="quail"/>
    <n v="4"/>
    <x v="1"/>
    <x v="21"/>
    <n v="5"/>
    <n v="5"/>
    <n v="0"/>
    <n v="0"/>
    <s v="No"/>
    <x v="1"/>
  </r>
  <r>
    <s v="quail"/>
    <n v="4"/>
    <x v="1"/>
    <x v="21"/>
    <n v="5"/>
    <n v="5"/>
    <n v="0"/>
    <n v="0"/>
    <s v="No"/>
    <x v="1"/>
  </r>
  <r>
    <s v="alps"/>
    <n v="5"/>
    <x v="0"/>
    <x v="22"/>
    <n v="5"/>
    <n v="5"/>
    <n v="0"/>
    <n v="0"/>
    <s v="No"/>
    <x v="1"/>
  </r>
  <r>
    <s v="alps"/>
    <n v="5"/>
    <x v="0"/>
    <x v="22"/>
    <n v="5"/>
    <n v="5"/>
    <n v="0"/>
    <n v="0"/>
    <s v="No"/>
    <x v="1"/>
  </r>
  <r>
    <s v="alps"/>
    <n v="5"/>
    <x v="1"/>
    <x v="23"/>
    <n v="5"/>
    <n v="0"/>
    <n v="5"/>
    <n v="2.6"/>
    <s v="No"/>
    <x v="1"/>
  </r>
  <r>
    <s v="alps"/>
    <n v="5"/>
    <x v="1"/>
    <x v="23"/>
    <n v="5"/>
    <n v="0"/>
    <n v="5"/>
    <n v="2.7"/>
    <s v="No"/>
    <x v="1"/>
  </r>
  <r>
    <s v="alps"/>
    <n v="5"/>
    <x v="1"/>
    <x v="23"/>
    <n v="5"/>
    <n v="5"/>
    <n v="0"/>
    <n v="0"/>
    <s v="No"/>
    <x v="1"/>
  </r>
  <r>
    <s v="alps"/>
    <n v="5"/>
    <x v="1"/>
    <x v="23"/>
    <n v="5"/>
    <n v="0"/>
    <n v="5"/>
    <n v="3.8"/>
    <s v="No"/>
    <x v="1"/>
  </r>
  <r>
    <s v="alps"/>
    <n v="5"/>
    <x v="1"/>
    <x v="23"/>
    <n v="5"/>
    <n v="0"/>
    <n v="5"/>
    <n v="6.7"/>
    <s v="No"/>
    <x v="1"/>
  </r>
  <r>
    <s v="alps"/>
    <n v="5"/>
    <x v="1"/>
    <x v="23"/>
    <n v="5"/>
    <n v="5"/>
    <n v="0"/>
    <n v="0"/>
    <s v="No"/>
    <x v="1"/>
  </r>
  <r>
    <s v="alps"/>
    <n v="5"/>
    <x v="1"/>
    <x v="23"/>
    <n v="5"/>
    <n v="0"/>
    <n v="5"/>
    <n v="0.3"/>
    <s v="No"/>
    <x v="1"/>
  </r>
  <r>
    <s v="alps"/>
    <n v="1"/>
    <x v="1"/>
    <x v="24"/>
    <n v="5"/>
    <n v="0"/>
    <n v="5"/>
    <n v="11.2"/>
    <s v="No"/>
    <x v="1"/>
  </r>
  <r>
    <s v="alps"/>
    <n v="1"/>
    <x v="1"/>
    <x v="24"/>
    <n v="5"/>
    <n v="0"/>
    <n v="5"/>
    <n v="4.3"/>
    <s v="No"/>
    <x v="1"/>
  </r>
  <r>
    <s v="alps"/>
    <n v="1"/>
    <x v="1"/>
    <x v="24"/>
    <n v="5"/>
    <n v="5"/>
    <n v="0"/>
    <n v="0"/>
    <s v="No"/>
    <x v="1"/>
  </r>
  <r>
    <s v="alps"/>
    <n v="6"/>
    <x v="1"/>
    <x v="26"/>
    <n v="5"/>
    <n v="0"/>
    <n v="5"/>
    <n v="2.4"/>
    <s v="No"/>
    <x v="1"/>
  </r>
  <r>
    <s v="cockatoo"/>
    <n v="8"/>
    <x v="1"/>
    <x v="27"/>
    <n v="5"/>
    <n v="0"/>
    <n v="5"/>
    <n v="0.7"/>
    <s v="No"/>
    <x v="1"/>
  </r>
  <r>
    <s v="cockatoo"/>
    <n v="10"/>
    <x v="1"/>
    <x v="29"/>
    <n v="5"/>
    <n v="5"/>
    <n v="0"/>
    <n v="0"/>
    <s v="No"/>
    <x v="1"/>
  </r>
  <r>
    <s v="cockatoo"/>
    <n v="11"/>
    <x v="0"/>
    <x v="30"/>
    <n v="5"/>
    <n v="0"/>
    <n v="5"/>
    <n v="5.2"/>
    <s v="No"/>
    <x v="1"/>
  </r>
  <r>
    <s v="superblock"/>
    <n v="1"/>
    <x v="0"/>
    <x v="0"/>
    <n v="6"/>
    <n v="6"/>
    <n v="0"/>
    <n v="0"/>
    <s v="No"/>
    <x v="1"/>
  </r>
  <r>
    <s v="superblock"/>
    <n v="1"/>
    <x v="0"/>
    <x v="0"/>
    <n v="6"/>
    <n v="0"/>
    <n v="6"/>
    <n v="11.8"/>
    <s v="No"/>
    <x v="1"/>
  </r>
  <r>
    <s v="superblock"/>
    <n v="1"/>
    <x v="1"/>
    <x v="1"/>
    <n v="6"/>
    <n v="0"/>
    <n v="6"/>
    <n v="7.6"/>
    <s v="No"/>
    <x v="1"/>
  </r>
  <r>
    <s v="superblock"/>
    <n v="1"/>
    <x v="1"/>
    <x v="1"/>
    <n v="6"/>
    <n v="0"/>
    <n v="6"/>
    <n v="3.4"/>
    <s v="No"/>
    <x v="1"/>
  </r>
  <r>
    <s v="superblock"/>
    <n v="1"/>
    <x v="1"/>
    <x v="1"/>
    <n v="6"/>
    <n v="0"/>
    <n v="6"/>
    <n v="2.1"/>
    <s v="No"/>
    <x v="1"/>
  </r>
  <r>
    <s v="superblock"/>
    <n v="1"/>
    <x v="1"/>
    <x v="1"/>
    <n v="6"/>
    <n v="0"/>
    <n v="6"/>
    <n v="1.7"/>
    <s v="No"/>
    <x v="1"/>
  </r>
  <r>
    <s v="superblock"/>
    <n v="1"/>
    <x v="1"/>
    <x v="1"/>
    <n v="6"/>
    <n v="6"/>
    <n v="0"/>
    <n v="0"/>
    <s v="No"/>
    <x v="1"/>
  </r>
  <r>
    <s v="superblock"/>
    <n v="1"/>
    <x v="1"/>
    <x v="1"/>
    <n v="6"/>
    <n v="0"/>
    <n v="6"/>
    <n v="5.0999999999999996"/>
    <s v="No"/>
    <x v="1"/>
  </r>
  <r>
    <s v="superblock"/>
    <n v="1"/>
    <x v="1"/>
    <x v="1"/>
    <n v="6"/>
    <n v="0"/>
    <n v="6"/>
    <n v="3.2"/>
    <s v="No"/>
    <x v="1"/>
  </r>
  <r>
    <s v="superblock"/>
    <n v="2"/>
    <x v="0"/>
    <x v="2"/>
    <n v="6"/>
    <n v="6"/>
    <n v="0"/>
    <n v="0"/>
    <s v="No"/>
    <x v="1"/>
  </r>
  <r>
    <s v="superblock"/>
    <n v="2"/>
    <x v="0"/>
    <x v="2"/>
    <n v="6"/>
    <n v="0"/>
    <n v="6"/>
    <n v="9"/>
    <s v="No"/>
    <x v="1"/>
  </r>
  <r>
    <s v="superblock"/>
    <n v="2"/>
    <x v="1"/>
    <x v="3"/>
    <n v="6"/>
    <n v="0"/>
    <n v="6"/>
    <n v="6"/>
    <s v="No"/>
    <x v="1"/>
  </r>
  <r>
    <s v="superblock"/>
    <n v="3"/>
    <x v="0"/>
    <x v="4"/>
    <n v="6"/>
    <n v="0"/>
    <n v="6"/>
    <n v="2"/>
    <s v="No"/>
    <x v="1"/>
  </r>
  <r>
    <s v="superblock"/>
    <n v="3"/>
    <x v="0"/>
    <x v="4"/>
    <n v="6"/>
    <n v="0"/>
    <n v="6"/>
    <n v="9"/>
    <s v="No"/>
    <x v="1"/>
  </r>
  <r>
    <s v="superblock"/>
    <n v="3"/>
    <x v="0"/>
    <x v="4"/>
    <n v="6"/>
    <n v="0"/>
    <n v="6"/>
    <n v="5.5"/>
    <s v="No"/>
    <x v="1"/>
  </r>
  <r>
    <s v="superblock"/>
    <n v="3"/>
    <x v="1"/>
    <x v="5"/>
    <n v="6"/>
    <n v="0"/>
    <n v="6"/>
    <n v="1.6"/>
    <s v="No"/>
    <x v="1"/>
  </r>
  <r>
    <s v="superblock"/>
    <n v="3"/>
    <x v="1"/>
    <x v="5"/>
    <n v="6"/>
    <n v="0"/>
    <n v="6"/>
    <n v="4.3"/>
    <s v="No"/>
    <x v="1"/>
  </r>
  <r>
    <s v="superblock"/>
    <n v="3"/>
    <x v="1"/>
    <x v="5"/>
    <n v="6"/>
    <n v="0"/>
    <n v="6"/>
    <n v="7"/>
    <s v="No"/>
    <x v="1"/>
  </r>
  <r>
    <s v="superblock"/>
    <n v="3"/>
    <x v="1"/>
    <x v="5"/>
    <n v="6"/>
    <n v="6"/>
    <n v="0"/>
    <n v="0"/>
    <s v="No"/>
    <x v="1"/>
  </r>
  <r>
    <s v="superblock"/>
    <n v="4"/>
    <x v="0"/>
    <x v="6"/>
    <n v="6"/>
    <n v="6"/>
    <n v="0"/>
    <n v="0"/>
    <s v="No"/>
    <x v="1"/>
  </r>
  <r>
    <s v="superblock"/>
    <n v="4"/>
    <x v="0"/>
    <x v="6"/>
    <n v="6"/>
    <n v="6"/>
    <n v="0"/>
    <n v="0"/>
    <s v="No"/>
    <x v="1"/>
  </r>
  <r>
    <s v="superblock"/>
    <n v="4"/>
    <x v="1"/>
    <x v="7"/>
    <n v="6"/>
    <n v="0"/>
    <n v="6"/>
    <n v="4.3"/>
    <s v="No"/>
    <x v="1"/>
  </r>
  <r>
    <s v="falls"/>
    <n v="1"/>
    <x v="0"/>
    <x v="8"/>
    <n v="6"/>
    <n v="6"/>
    <n v="0"/>
    <n v="0"/>
    <s v="No"/>
    <x v="1"/>
  </r>
  <r>
    <s v="falls"/>
    <n v="1"/>
    <x v="1"/>
    <x v="9"/>
    <n v="6"/>
    <n v="6"/>
    <n v="0"/>
    <n v="0"/>
    <s v="No"/>
    <x v="1"/>
  </r>
  <r>
    <s v="falls"/>
    <n v="2"/>
    <x v="1"/>
    <x v="11"/>
    <n v="6"/>
    <n v="6"/>
    <n v="0"/>
    <n v="0"/>
    <s v="No"/>
    <x v="1"/>
  </r>
  <r>
    <s v="falls"/>
    <n v="2"/>
    <x v="1"/>
    <x v="11"/>
    <n v="6"/>
    <n v="0"/>
    <n v="6"/>
    <n v="11"/>
    <s v="No"/>
    <x v="1"/>
  </r>
  <r>
    <s v="falls"/>
    <n v="2"/>
    <x v="1"/>
    <x v="11"/>
    <n v="6"/>
    <n v="0"/>
    <n v="6"/>
    <n v="1.2"/>
    <s v="No"/>
    <x v="1"/>
  </r>
  <r>
    <s v="falls"/>
    <n v="2"/>
    <x v="1"/>
    <x v="11"/>
    <n v="6"/>
    <n v="0"/>
    <n v="6"/>
    <n v="5.5"/>
    <s v="No"/>
    <x v="1"/>
  </r>
  <r>
    <s v="falls"/>
    <n v="2"/>
    <x v="1"/>
    <x v="11"/>
    <n v="6"/>
    <n v="0"/>
    <n v="6"/>
    <n v="1.4"/>
    <s v="No"/>
    <x v="1"/>
  </r>
  <r>
    <s v="falls"/>
    <n v="2"/>
    <x v="1"/>
    <x v="11"/>
    <n v="6"/>
    <n v="0"/>
    <n v="6"/>
    <n v="1.3"/>
    <s v="No"/>
    <x v="1"/>
  </r>
  <r>
    <s v="falls"/>
    <n v="2"/>
    <x v="1"/>
    <x v="11"/>
    <n v="6"/>
    <n v="0"/>
    <n v="6"/>
    <n v="3.4"/>
    <s v="No"/>
    <x v="1"/>
  </r>
  <r>
    <s v="falls"/>
    <n v="5"/>
    <x v="0"/>
    <x v="12"/>
    <n v="6"/>
    <n v="0"/>
    <n v="6"/>
    <n v="1.5"/>
    <s v="No"/>
    <x v="1"/>
  </r>
  <r>
    <s v="falls"/>
    <n v="5"/>
    <x v="1"/>
    <x v="13"/>
    <n v="6"/>
    <n v="6"/>
    <n v="0"/>
    <n v="0"/>
    <s v="No"/>
    <x v="1"/>
  </r>
  <r>
    <s v="falls"/>
    <n v="5"/>
    <x v="1"/>
    <x v="13"/>
    <n v="6"/>
    <n v="0"/>
    <n v="6"/>
    <n v="9.3000000000000007"/>
    <s v="No"/>
    <x v="1"/>
  </r>
  <r>
    <s v="falls"/>
    <n v="3"/>
    <x v="0"/>
    <x v="14"/>
    <n v="6"/>
    <n v="0"/>
    <n v="6"/>
    <n v="0.7"/>
    <s v="No"/>
    <x v="1"/>
  </r>
  <r>
    <s v="falls"/>
    <n v="3"/>
    <x v="0"/>
    <x v="14"/>
    <n v="6"/>
    <n v="6"/>
    <n v="0"/>
    <n v="0"/>
    <s v="No"/>
    <x v="1"/>
  </r>
  <r>
    <s v="falls"/>
    <n v="3"/>
    <x v="0"/>
    <x v="14"/>
    <n v="6"/>
    <n v="6"/>
    <n v="0"/>
    <n v="0"/>
    <s v="No"/>
    <x v="1"/>
  </r>
  <r>
    <s v="falls"/>
    <n v="3"/>
    <x v="0"/>
    <x v="14"/>
    <n v="6"/>
    <n v="6"/>
    <n v="0"/>
    <n v="0"/>
    <s v="No"/>
    <x v="1"/>
  </r>
  <r>
    <s v="falls"/>
    <n v="3"/>
    <x v="0"/>
    <x v="14"/>
    <n v="6"/>
    <n v="6"/>
    <n v="0"/>
    <n v="0"/>
    <s v="No"/>
    <x v="1"/>
  </r>
  <r>
    <s v="falls"/>
    <n v="3"/>
    <x v="1"/>
    <x v="15"/>
    <n v="6"/>
    <n v="6"/>
    <n v="0"/>
    <n v="0"/>
    <s v="No"/>
    <x v="1"/>
  </r>
  <r>
    <s v="falls"/>
    <n v="3"/>
    <x v="1"/>
    <x v="15"/>
    <n v="6"/>
    <n v="6"/>
    <n v="0"/>
    <n v="0"/>
    <s v="No"/>
    <x v="1"/>
  </r>
  <r>
    <s v="falls"/>
    <n v="4"/>
    <x v="0"/>
    <x v="16"/>
    <n v="6"/>
    <n v="0"/>
    <n v="6"/>
    <n v="12"/>
    <s v="No"/>
    <x v="1"/>
  </r>
  <r>
    <s v="falls"/>
    <n v="4"/>
    <x v="0"/>
    <x v="16"/>
    <n v="6"/>
    <n v="0"/>
    <n v="6"/>
    <n v="15.1"/>
    <s v="No"/>
    <x v="1"/>
  </r>
  <r>
    <s v="quail"/>
    <n v="1"/>
    <x v="0"/>
    <x v="18"/>
    <n v="6"/>
    <n v="0"/>
    <n v="6"/>
    <n v="1.4"/>
    <s v="No"/>
    <x v="1"/>
  </r>
  <r>
    <s v="quail"/>
    <n v="1"/>
    <x v="0"/>
    <x v="18"/>
    <n v="6"/>
    <n v="0"/>
    <n v="6"/>
    <n v="0.8"/>
    <s v="No"/>
    <x v="1"/>
  </r>
  <r>
    <s v="quail"/>
    <n v="1"/>
    <x v="0"/>
    <x v="18"/>
    <n v="6"/>
    <n v="6"/>
    <n v="0"/>
    <n v="0"/>
    <s v="No"/>
    <x v="1"/>
  </r>
  <r>
    <s v="quail"/>
    <n v="4"/>
    <x v="0"/>
    <x v="20"/>
    <n v="6"/>
    <n v="6"/>
    <n v="0"/>
    <n v="0"/>
    <s v="No"/>
    <x v="1"/>
  </r>
  <r>
    <s v="quail"/>
    <n v="4"/>
    <x v="0"/>
    <x v="20"/>
    <n v="6"/>
    <n v="0"/>
    <n v="6"/>
    <n v="7.3"/>
    <s v="No"/>
    <x v="1"/>
  </r>
  <r>
    <s v="quail"/>
    <n v="4"/>
    <x v="0"/>
    <x v="20"/>
    <n v="6"/>
    <n v="0"/>
    <n v="6"/>
    <n v="10.3"/>
    <s v="No"/>
    <x v="1"/>
  </r>
  <r>
    <s v="quail"/>
    <n v="4"/>
    <x v="0"/>
    <x v="20"/>
    <n v="6"/>
    <n v="0"/>
    <n v="6"/>
    <n v="6.3"/>
    <s v="No"/>
    <x v="1"/>
  </r>
  <r>
    <s v="quail"/>
    <n v="4"/>
    <x v="1"/>
    <x v="21"/>
    <n v="6"/>
    <n v="0"/>
    <n v="6"/>
    <n v="9.3000000000000007"/>
    <s v="No"/>
    <x v="1"/>
  </r>
  <r>
    <s v="quail"/>
    <n v="4"/>
    <x v="1"/>
    <x v="21"/>
    <n v="6"/>
    <n v="6"/>
    <n v="0"/>
    <n v="0"/>
    <s v="No"/>
    <x v="1"/>
  </r>
  <r>
    <s v="quail"/>
    <n v="4"/>
    <x v="1"/>
    <x v="21"/>
    <n v="6"/>
    <n v="0"/>
    <n v="6"/>
    <n v="2.2999999999999998"/>
    <s v="No"/>
    <x v="1"/>
  </r>
  <r>
    <s v="alps"/>
    <n v="5"/>
    <x v="0"/>
    <x v="22"/>
    <n v="6"/>
    <n v="6"/>
    <n v="0"/>
    <n v="0"/>
    <s v="No"/>
    <x v="1"/>
  </r>
  <r>
    <s v="alps"/>
    <n v="5"/>
    <x v="1"/>
    <x v="23"/>
    <n v="6"/>
    <n v="6"/>
    <n v="0"/>
    <n v="0"/>
    <s v="No"/>
    <x v="1"/>
  </r>
  <r>
    <s v="alps"/>
    <n v="5"/>
    <x v="1"/>
    <x v="23"/>
    <n v="6"/>
    <n v="6"/>
    <n v="0"/>
    <n v="0"/>
    <s v="No"/>
    <x v="1"/>
  </r>
  <r>
    <s v="alps"/>
    <n v="5"/>
    <x v="1"/>
    <x v="23"/>
    <n v="6"/>
    <n v="0"/>
    <n v="6"/>
    <n v="1.2"/>
    <s v="No"/>
    <x v="1"/>
  </r>
  <r>
    <s v="alps"/>
    <n v="5"/>
    <x v="1"/>
    <x v="23"/>
    <n v="6"/>
    <n v="0"/>
    <n v="6"/>
    <n v="1.5"/>
    <s v="No"/>
    <x v="1"/>
  </r>
  <r>
    <s v="alps"/>
    <n v="5"/>
    <x v="1"/>
    <x v="23"/>
    <n v="6"/>
    <n v="0"/>
    <n v="6"/>
    <n v="3.2"/>
    <s v="No"/>
    <x v="1"/>
  </r>
  <r>
    <s v="alps"/>
    <n v="5"/>
    <x v="1"/>
    <x v="23"/>
    <n v="6"/>
    <n v="6"/>
    <n v="0"/>
    <n v="0"/>
    <s v="No"/>
    <x v="1"/>
  </r>
  <r>
    <s v="alps"/>
    <n v="1"/>
    <x v="0"/>
    <x v="32"/>
    <n v="6"/>
    <n v="6"/>
    <n v="0"/>
    <n v="0"/>
    <s v="No"/>
    <x v="1"/>
  </r>
  <r>
    <s v="alps"/>
    <n v="1"/>
    <x v="0"/>
    <x v="32"/>
    <n v="6"/>
    <n v="0"/>
    <n v="6"/>
    <n v="5"/>
    <s v="No"/>
    <x v="1"/>
  </r>
  <r>
    <s v="alps"/>
    <n v="1"/>
    <x v="1"/>
    <x v="24"/>
    <n v="6"/>
    <n v="0"/>
    <n v="6"/>
    <n v="7"/>
    <s v="No"/>
    <x v="1"/>
  </r>
  <r>
    <s v="alps"/>
    <n v="1"/>
    <x v="1"/>
    <x v="24"/>
    <n v="6"/>
    <n v="6"/>
    <n v="0"/>
    <n v="0"/>
    <s v="No"/>
    <x v="1"/>
  </r>
  <r>
    <s v="alps"/>
    <n v="6"/>
    <x v="1"/>
    <x v="26"/>
    <n v="6"/>
    <n v="0"/>
    <n v="6"/>
    <n v="10.3"/>
    <s v="No"/>
    <x v="1"/>
  </r>
  <r>
    <s v="cockatoo"/>
    <n v="10"/>
    <x v="0"/>
    <x v="28"/>
    <n v="6"/>
    <n v="0"/>
    <n v="6"/>
    <n v="4.5"/>
    <s v="No"/>
    <x v="1"/>
  </r>
  <r>
    <s v="cockatoo"/>
    <n v="10"/>
    <x v="0"/>
    <x v="28"/>
    <n v="6"/>
    <n v="0"/>
    <n v="6"/>
    <n v="1.8"/>
    <s v="No"/>
    <x v="1"/>
  </r>
  <r>
    <s v="cockatoo"/>
    <n v="10"/>
    <x v="1"/>
    <x v="29"/>
    <n v="6"/>
    <n v="6"/>
    <n v="0"/>
    <n v="0"/>
    <s v="No"/>
    <x v="1"/>
  </r>
  <r>
    <s v="cockatoo"/>
    <n v="10"/>
    <x v="1"/>
    <x v="29"/>
    <n v="6"/>
    <n v="0"/>
    <n v="6"/>
    <n v="4.4000000000000004"/>
    <s v="No"/>
    <x v="1"/>
  </r>
  <r>
    <s v="cockatoo"/>
    <n v="10"/>
    <x v="1"/>
    <x v="29"/>
    <n v="6"/>
    <n v="6"/>
    <n v="0"/>
    <n v="0"/>
    <s v="No"/>
    <x v="1"/>
  </r>
  <r>
    <s v="cockatoo"/>
    <n v="11"/>
    <x v="0"/>
    <x v="30"/>
    <n v="6"/>
    <n v="0"/>
    <n v="6"/>
    <n v="3.7"/>
    <s v="No"/>
    <x v="1"/>
  </r>
  <r>
    <s v="cockatoo"/>
    <n v="11"/>
    <x v="0"/>
    <x v="30"/>
    <n v="6"/>
    <n v="0"/>
    <n v="6"/>
    <n v="7"/>
    <s v="No"/>
    <x v="1"/>
  </r>
  <r>
    <s v="cockatoo"/>
    <n v="11"/>
    <x v="0"/>
    <x v="30"/>
    <n v="6"/>
    <n v="6"/>
    <n v="0"/>
    <n v="0"/>
    <s v="No"/>
    <x v="1"/>
  </r>
  <r>
    <s v="cockatoo"/>
    <n v="11"/>
    <x v="1"/>
    <x v="31"/>
    <n v="6"/>
    <n v="0"/>
    <n v="6"/>
    <n v="12.6"/>
    <s v="No"/>
    <x v="1"/>
  </r>
  <r>
    <s v="superblock"/>
    <n v="1"/>
    <x v="0"/>
    <x v="0"/>
    <n v="7"/>
    <n v="0"/>
    <n v="7"/>
    <n v="3.8"/>
    <s v="No"/>
    <x v="1"/>
  </r>
  <r>
    <s v="superblock"/>
    <n v="1"/>
    <x v="0"/>
    <x v="0"/>
    <n v="7"/>
    <n v="0"/>
    <n v="7"/>
    <n v="3.4"/>
    <s v="No"/>
    <x v="1"/>
  </r>
  <r>
    <s v="superblock"/>
    <n v="1"/>
    <x v="1"/>
    <x v="1"/>
    <n v="7"/>
    <n v="0"/>
    <n v="7"/>
    <n v="6.5"/>
    <s v="No"/>
    <x v="1"/>
  </r>
  <r>
    <s v="superblock"/>
    <n v="1"/>
    <x v="1"/>
    <x v="1"/>
    <n v="7"/>
    <n v="0"/>
    <n v="7"/>
    <n v="3.2"/>
    <s v="No"/>
    <x v="1"/>
  </r>
  <r>
    <s v="superblock"/>
    <n v="1"/>
    <x v="1"/>
    <x v="1"/>
    <n v="7"/>
    <n v="7"/>
    <n v="0"/>
    <n v="0"/>
    <s v="No"/>
    <x v="1"/>
  </r>
  <r>
    <s v="superblock"/>
    <n v="1"/>
    <x v="1"/>
    <x v="1"/>
    <n v="7"/>
    <n v="0"/>
    <n v="7"/>
    <n v="3.6"/>
    <s v="No"/>
    <x v="1"/>
  </r>
  <r>
    <s v="superblock"/>
    <n v="2"/>
    <x v="0"/>
    <x v="2"/>
    <n v="7"/>
    <n v="0"/>
    <n v="7"/>
    <n v="7.1"/>
    <s v="No"/>
    <x v="1"/>
  </r>
  <r>
    <s v="superblock"/>
    <n v="2"/>
    <x v="0"/>
    <x v="2"/>
    <n v="7"/>
    <n v="0"/>
    <n v="7"/>
    <n v="5"/>
    <s v="No"/>
    <x v="1"/>
  </r>
  <r>
    <s v="superblock"/>
    <n v="2"/>
    <x v="0"/>
    <x v="2"/>
    <n v="7"/>
    <n v="0"/>
    <n v="7"/>
    <n v="1.6"/>
    <s v="No"/>
    <x v="1"/>
  </r>
  <r>
    <s v="superblock"/>
    <n v="2"/>
    <x v="1"/>
    <x v="3"/>
    <n v="7"/>
    <n v="7"/>
    <n v="0"/>
    <n v="0"/>
    <s v="No"/>
    <x v="1"/>
  </r>
  <r>
    <s v="superblock"/>
    <n v="3"/>
    <x v="0"/>
    <x v="4"/>
    <n v="7"/>
    <n v="0"/>
    <n v="7"/>
    <n v="3.5"/>
    <s v="No"/>
    <x v="1"/>
  </r>
  <r>
    <s v="superblock"/>
    <n v="3"/>
    <x v="0"/>
    <x v="4"/>
    <n v="7"/>
    <n v="0"/>
    <n v="7"/>
    <n v="11.8"/>
    <s v="No"/>
    <x v="1"/>
  </r>
  <r>
    <s v="superblock"/>
    <n v="3"/>
    <x v="0"/>
    <x v="4"/>
    <n v="7"/>
    <n v="0"/>
    <n v="7"/>
    <n v="8.5"/>
    <s v="No"/>
    <x v="1"/>
  </r>
  <r>
    <s v="superblock"/>
    <n v="3"/>
    <x v="1"/>
    <x v="5"/>
    <n v="7"/>
    <n v="0"/>
    <n v="7"/>
    <n v="14.2"/>
    <s v="No"/>
    <x v="1"/>
  </r>
  <r>
    <s v="superblock"/>
    <n v="3"/>
    <x v="1"/>
    <x v="5"/>
    <n v="7"/>
    <n v="0"/>
    <n v="7"/>
    <n v="10"/>
    <s v="No"/>
    <x v="1"/>
  </r>
  <r>
    <s v="superblock"/>
    <n v="4"/>
    <x v="0"/>
    <x v="6"/>
    <n v="7"/>
    <n v="0"/>
    <n v="7"/>
    <n v="7.4"/>
    <s v="No"/>
    <x v="1"/>
  </r>
  <r>
    <s v="superblock"/>
    <n v="4"/>
    <x v="0"/>
    <x v="6"/>
    <n v="7"/>
    <n v="0"/>
    <n v="7"/>
    <n v="8"/>
    <s v="No"/>
    <x v="1"/>
  </r>
  <r>
    <s v="superblock"/>
    <n v="4"/>
    <x v="0"/>
    <x v="6"/>
    <n v="7"/>
    <n v="7"/>
    <n v="0"/>
    <n v="0"/>
    <s v="No"/>
    <x v="1"/>
  </r>
  <r>
    <s v="superblock"/>
    <n v="4"/>
    <x v="0"/>
    <x v="6"/>
    <n v="7"/>
    <n v="0"/>
    <n v="7"/>
    <n v="4.2"/>
    <s v="No"/>
    <x v="1"/>
  </r>
  <r>
    <s v="superblock"/>
    <n v="4"/>
    <x v="0"/>
    <x v="6"/>
    <n v="7"/>
    <n v="0"/>
    <n v="7"/>
    <n v="6.3"/>
    <s v="No"/>
    <x v="1"/>
  </r>
  <r>
    <s v="falls"/>
    <n v="1"/>
    <x v="0"/>
    <x v="8"/>
    <n v="7"/>
    <n v="0"/>
    <n v="7"/>
    <n v="3"/>
    <s v="No"/>
    <x v="1"/>
  </r>
  <r>
    <s v="falls"/>
    <n v="1"/>
    <x v="1"/>
    <x v="9"/>
    <n v="7"/>
    <n v="0"/>
    <n v="7"/>
    <n v="7.3"/>
    <s v="No"/>
    <x v="1"/>
  </r>
  <r>
    <s v="falls"/>
    <n v="2"/>
    <x v="1"/>
    <x v="11"/>
    <n v="7"/>
    <n v="0"/>
    <n v="7"/>
    <n v="4.5"/>
    <s v="No"/>
    <x v="1"/>
  </r>
  <r>
    <s v="falls"/>
    <n v="2"/>
    <x v="1"/>
    <x v="11"/>
    <n v="7"/>
    <n v="0"/>
    <n v="7"/>
    <n v="5.6"/>
    <s v="No"/>
    <x v="1"/>
  </r>
  <r>
    <s v="falls"/>
    <n v="5"/>
    <x v="0"/>
    <x v="12"/>
    <n v="7"/>
    <n v="0"/>
    <n v="7"/>
    <n v="1.2"/>
    <s v="No"/>
    <x v="1"/>
  </r>
  <r>
    <s v="falls"/>
    <n v="5"/>
    <x v="0"/>
    <x v="12"/>
    <n v="7"/>
    <n v="0"/>
    <n v="7"/>
    <n v="4.3"/>
    <s v="No"/>
    <x v="1"/>
  </r>
  <r>
    <s v="falls"/>
    <n v="5"/>
    <x v="1"/>
    <x v="13"/>
    <n v="7"/>
    <n v="7"/>
    <n v="0"/>
    <n v="0"/>
    <s v="No"/>
    <x v="1"/>
  </r>
  <r>
    <s v="falls"/>
    <n v="5"/>
    <x v="1"/>
    <x v="13"/>
    <n v="7"/>
    <n v="0"/>
    <n v="7"/>
    <n v="11.7"/>
    <s v="No"/>
    <x v="1"/>
  </r>
  <r>
    <s v="falls"/>
    <n v="5"/>
    <x v="1"/>
    <x v="13"/>
    <n v="7"/>
    <n v="0"/>
    <n v="7"/>
    <n v="13.8"/>
    <s v="No"/>
    <x v="1"/>
  </r>
  <r>
    <s v="falls"/>
    <n v="5"/>
    <x v="1"/>
    <x v="13"/>
    <n v="7"/>
    <n v="0"/>
    <n v="7"/>
    <n v="8"/>
    <s v="No"/>
    <x v="1"/>
  </r>
  <r>
    <s v="falls"/>
    <n v="5"/>
    <x v="1"/>
    <x v="13"/>
    <n v="7"/>
    <n v="0"/>
    <n v="7"/>
    <n v="9.3000000000000007"/>
    <s v="No"/>
    <x v="1"/>
  </r>
  <r>
    <s v="falls"/>
    <n v="3"/>
    <x v="0"/>
    <x v="14"/>
    <n v="7"/>
    <n v="7"/>
    <n v="0"/>
    <n v="0"/>
    <s v="No"/>
    <x v="1"/>
  </r>
  <r>
    <s v="falls"/>
    <n v="3"/>
    <x v="0"/>
    <x v="14"/>
    <n v="7"/>
    <n v="7"/>
    <n v="0"/>
    <n v="0"/>
    <s v="No"/>
    <x v="1"/>
  </r>
  <r>
    <s v="falls"/>
    <n v="3"/>
    <x v="0"/>
    <x v="14"/>
    <n v="7"/>
    <n v="0"/>
    <n v="7"/>
    <n v="10"/>
    <s v="No"/>
    <x v="1"/>
  </r>
  <r>
    <s v="falls"/>
    <n v="4"/>
    <x v="0"/>
    <x v="16"/>
    <n v="7"/>
    <n v="7"/>
    <n v="0"/>
    <n v="0"/>
    <s v="No"/>
    <x v="1"/>
  </r>
  <r>
    <s v="falls"/>
    <n v="4"/>
    <x v="0"/>
    <x v="16"/>
    <n v="7"/>
    <n v="0"/>
    <n v="7"/>
    <n v="9.8000000000000007"/>
    <s v="No"/>
    <x v="1"/>
  </r>
  <r>
    <s v="falls"/>
    <n v="4"/>
    <x v="1"/>
    <x v="17"/>
    <n v="7"/>
    <n v="7"/>
    <n v="0"/>
    <n v="0"/>
    <s v="No"/>
    <x v="1"/>
  </r>
  <r>
    <s v="falls"/>
    <n v="4"/>
    <x v="1"/>
    <x v="17"/>
    <n v="7"/>
    <n v="0"/>
    <n v="7"/>
    <n v="7.6"/>
    <s v="No"/>
    <x v="1"/>
  </r>
  <r>
    <s v="quail"/>
    <n v="1"/>
    <x v="0"/>
    <x v="18"/>
    <n v="7"/>
    <n v="0"/>
    <n v="7"/>
    <n v="9.6"/>
    <s v="No"/>
    <x v="1"/>
  </r>
  <r>
    <s v="quail"/>
    <n v="4"/>
    <x v="0"/>
    <x v="20"/>
    <n v="7"/>
    <n v="0"/>
    <n v="7"/>
    <n v="12.2"/>
    <s v="No"/>
    <x v="1"/>
  </r>
  <r>
    <s v="quail"/>
    <n v="4"/>
    <x v="1"/>
    <x v="21"/>
    <n v="7"/>
    <n v="7"/>
    <n v="0"/>
    <n v="0"/>
    <s v="No"/>
    <x v="1"/>
  </r>
  <r>
    <s v="quail"/>
    <n v="4"/>
    <x v="1"/>
    <x v="21"/>
    <n v="7"/>
    <n v="7"/>
    <n v="0"/>
    <n v="0"/>
    <s v="No"/>
    <x v="1"/>
  </r>
  <r>
    <s v="alps"/>
    <n v="5"/>
    <x v="0"/>
    <x v="22"/>
    <n v="7"/>
    <n v="0"/>
    <n v="7"/>
    <n v="8.6"/>
    <s v="No"/>
    <x v="1"/>
  </r>
  <r>
    <s v="alps"/>
    <n v="5"/>
    <x v="1"/>
    <x v="23"/>
    <n v="7"/>
    <n v="7"/>
    <n v="0"/>
    <n v="0"/>
    <s v="No"/>
    <x v="1"/>
  </r>
  <r>
    <s v="alps"/>
    <n v="5"/>
    <x v="1"/>
    <x v="23"/>
    <n v="7"/>
    <n v="7"/>
    <n v="0"/>
    <n v="0"/>
    <s v="No"/>
    <x v="1"/>
  </r>
  <r>
    <s v="alps"/>
    <n v="6"/>
    <x v="1"/>
    <x v="26"/>
    <n v="7"/>
    <n v="0"/>
    <n v="7"/>
    <n v="4.3"/>
    <s v="No"/>
    <x v="1"/>
  </r>
  <r>
    <s v="cockatoo"/>
    <n v="8"/>
    <x v="0"/>
    <x v="33"/>
    <n v="7"/>
    <n v="7"/>
    <n v="0"/>
    <n v="0"/>
    <s v="No"/>
    <x v="1"/>
  </r>
  <r>
    <s v="cockatoo"/>
    <n v="10"/>
    <x v="1"/>
    <x v="29"/>
    <n v="7"/>
    <n v="0"/>
    <n v="7"/>
    <n v="6.2"/>
    <s v="No"/>
    <x v="1"/>
  </r>
  <r>
    <s v="cockatoo"/>
    <n v="10"/>
    <x v="1"/>
    <x v="29"/>
    <n v="7"/>
    <n v="7"/>
    <n v="0"/>
    <n v="0"/>
    <s v="No"/>
    <x v="1"/>
  </r>
  <r>
    <s v="cockatoo"/>
    <n v="11"/>
    <x v="0"/>
    <x v="30"/>
    <n v="7"/>
    <n v="0"/>
    <n v="7"/>
    <n v="3.3"/>
    <s v="No"/>
    <x v="1"/>
  </r>
  <r>
    <s v="cockatoo"/>
    <n v="11"/>
    <x v="1"/>
    <x v="31"/>
    <n v="7"/>
    <n v="0"/>
    <n v="7"/>
    <n v="9"/>
    <s v="No"/>
    <x v="1"/>
  </r>
  <r>
    <s v="superblock"/>
    <n v="1"/>
    <x v="0"/>
    <x v="0"/>
    <n v="8"/>
    <n v="0"/>
    <n v="8"/>
    <n v="3.5"/>
    <s v="No"/>
    <x v="1"/>
  </r>
  <r>
    <s v="superblock"/>
    <n v="1"/>
    <x v="1"/>
    <x v="1"/>
    <n v="8"/>
    <n v="0"/>
    <n v="8"/>
    <n v="2"/>
    <s v="No"/>
    <x v="1"/>
  </r>
  <r>
    <s v="superblock"/>
    <n v="1"/>
    <x v="1"/>
    <x v="1"/>
    <n v="8"/>
    <n v="0"/>
    <n v="8"/>
    <n v="4.5"/>
    <s v="No"/>
    <x v="1"/>
  </r>
  <r>
    <s v="superblock"/>
    <n v="2"/>
    <x v="0"/>
    <x v="2"/>
    <n v="8"/>
    <n v="0"/>
    <n v="8"/>
    <n v="4.5999999999999996"/>
    <s v="No"/>
    <x v="1"/>
  </r>
  <r>
    <s v="superblock"/>
    <n v="2"/>
    <x v="0"/>
    <x v="2"/>
    <n v="8"/>
    <n v="0"/>
    <n v="8"/>
    <n v="8.3000000000000007"/>
    <s v="No"/>
    <x v="1"/>
  </r>
  <r>
    <s v="superblock"/>
    <n v="2"/>
    <x v="0"/>
    <x v="2"/>
    <n v="8"/>
    <n v="0"/>
    <n v="8"/>
    <n v="7"/>
    <s v="No"/>
    <x v="1"/>
  </r>
  <r>
    <s v="superblock"/>
    <n v="2"/>
    <x v="0"/>
    <x v="2"/>
    <n v="8"/>
    <n v="0"/>
    <n v="8"/>
    <n v="7.6"/>
    <s v="No"/>
    <x v="1"/>
  </r>
  <r>
    <s v="superblock"/>
    <n v="2"/>
    <x v="1"/>
    <x v="3"/>
    <n v="8"/>
    <n v="8"/>
    <n v="0"/>
    <n v="0"/>
    <s v="No"/>
    <x v="1"/>
  </r>
  <r>
    <s v="superblock"/>
    <n v="2"/>
    <x v="1"/>
    <x v="3"/>
    <n v="8"/>
    <n v="0"/>
    <n v="8"/>
    <n v="6.6"/>
    <s v="No"/>
    <x v="1"/>
  </r>
  <r>
    <s v="superblock"/>
    <n v="3"/>
    <x v="0"/>
    <x v="4"/>
    <n v="8"/>
    <n v="0"/>
    <n v="8"/>
    <n v="7.5"/>
    <s v="No"/>
    <x v="1"/>
  </r>
  <r>
    <s v="superblock"/>
    <n v="3"/>
    <x v="1"/>
    <x v="5"/>
    <n v="8"/>
    <n v="0"/>
    <n v="8"/>
    <n v="14"/>
    <s v="No"/>
    <x v="1"/>
  </r>
  <r>
    <s v="superblock"/>
    <n v="3"/>
    <x v="1"/>
    <x v="5"/>
    <n v="8"/>
    <n v="5"/>
    <n v="3"/>
    <n v="12"/>
    <s v="No"/>
    <x v="1"/>
  </r>
  <r>
    <s v="superblock"/>
    <n v="3"/>
    <x v="1"/>
    <x v="5"/>
    <n v="8"/>
    <n v="0"/>
    <n v="8"/>
    <n v="14.6"/>
    <s v="No"/>
    <x v="1"/>
  </r>
  <r>
    <s v="superblock"/>
    <n v="4"/>
    <x v="0"/>
    <x v="6"/>
    <n v="8"/>
    <n v="8"/>
    <n v="0"/>
    <n v="8.3000000000000007"/>
    <s v="No"/>
    <x v="1"/>
  </r>
  <r>
    <s v="superblock"/>
    <n v="4"/>
    <x v="0"/>
    <x v="6"/>
    <n v="8"/>
    <n v="8"/>
    <n v="0"/>
    <n v="0"/>
    <s v="No"/>
    <x v="1"/>
  </r>
  <r>
    <s v="superblock"/>
    <n v="4"/>
    <x v="0"/>
    <x v="6"/>
    <n v="8"/>
    <n v="0"/>
    <n v="8"/>
    <n v="5.0999999999999996"/>
    <s v="No"/>
    <x v="1"/>
  </r>
  <r>
    <s v="superblock"/>
    <n v="4"/>
    <x v="0"/>
    <x v="6"/>
    <n v="8"/>
    <n v="0"/>
    <n v="8"/>
    <n v="2.4"/>
    <s v="No"/>
    <x v="1"/>
  </r>
  <r>
    <s v="superblock"/>
    <n v="4"/>
    <x v="1"/>
    <x v="7"/>
    <n v="8"/>
    <n v="5"/>
    <n v="3"/>
    <n v="0.3"/>
    <s v="No"/>
    <x v="1"/>
  </r>
  <r>
    <s v="falls"/>
    <n v="1"/>
    <x v="0"/>
    <x v="8"/>
    <n v="8"/>
    <n v="0"/>
    <n v="8"/>
    <n v="8.6"/>
    <s v="No"/>
    <x v="1"/>
  </r>
  <r>
    <s v="falls"/>
    <n v="1"/>
    <x v="1"/>
    <x v="9"/>
    <n v="8"/>
    <n v="0"/>
    <n v="8"/>
    <n v="2.5"/>
    <s v="No"/>
    <x v="1"/>
  </r>
  <r>
    <s v="falls"/>
    <n v="1"/>
    <x v="1"/>
    <x v="9"/>
    <n v="8"/>
    <n v="0"/>
    <n v="8"/>
    <n v="2.2000000000000002"/>
    <s v="No"/>
    <x v="1"/>
  </r>
  <r>
    <s v="falls"/>
    <n v="1"/>
    <x v="1"/>
    <x v="9"/>
    <n v="8"/>
    <n v="0"/>
    <n v="8"/>
    <n v="6"/>
    <s v="No"/>
    <x v="1"/>
  </r>
  <r>
    <s v="falls"/>
    <n v="1"/>
    <x v="1"/>
    <x v="9"/>
    <n v="8"/>
    <n v="0"/>
    <n v="8"/>
    <n v="4.5"/>
    <s v="No"/>
    <x v="1"/>
  </r>
  <r>
    <s v="falls"/>
    <n v="2"/>
    <x v="1"/>
    <x v="11"/>
    <n v="8"/>
    <n v="0"/>
    <n v="8"/>
    <n v="2"/>
    <s v="No"/>
    <x v="1"/>
  </r>
  <r>
    <s v="falls"/>
    <n v="2"/>
    <x v="1"/>
    <x v="11"/>
    <n v="8"/>
    <n v="8"/>
    <n v="0"/>
    <n v="0"/>
    <s v="No"/>
    <x v="1"/>
  </r>
  <r>
    <s v="falls"/>
    <n v="2"/>
    <x v="1"/>
    <x v="11"/>
    <n v="8"/>
    <n v="0"/>
    <n v="8"/>
    <n v="3.7"/>
    <s v="No"/>
    <x v="1"/>
  </r>
  <r>
    <s v="falls"/>
    <n v="2"/>
    <x v="1"/>
    <x v="11"/>
    <n v="8"/>
    <n v="0"/>
    <n v="8"/>
    <n v="1.7"/>
    <s v="No"/>
    <x v="1"/>
  </r>
  <r>
    <s v="falls"/>
    <n v="5"/>
    <x v="0"/>
    <x v="12"/>
    <n v="8"/>
    <n v="0"/>
    <n v="8"/>
    <n v="2.4"/>
    <s v="No"/>
    <x v="1"/>
  </r>
  <r>
    <s v="falls"/>
    <n v="5"/>
    <x v="1"/>
    <x v="13"/>
    <n v="8"/>
    <n v="8"/>
    <n v="0"/>
    <n v="0"/>
    <s v="No"/>
    <x v="1"/>
  </r>
  <r>
    <s v="falls"/>
    <n v="5"/>
    <x v="1"/>
    <x v="13"/>
    <n v="8"/>
    <n v="8"/>
    <n v="0"/>
    <n v="0"/>
    <s v="No"/>
    <x v="1"/>
  </r>
  <r>
    <s v="falls"/>
    <n v="5"/>
    <x v="1"/>
    <x v="13"/>
    <n v="8"/>
    <n v="8"/>
    <n v="0"/>
    <n v="0"/>
    <s v="No"/>
    <x v="1"/>
  </r>
  <r>
    <s v="falls"/>
    <n v="3"/>
    <x v="0"/>
    <x v="14"/>
    <n v="8"/>
    <n v="0"/>
    <n v="8"/>
    <n v="8"/>
    <s v="No"/>
    <x v="1"/>
  </r>
  <r>
    <s v="falls"/>
    <n v="3"/>
    <x v="0"/>
    <x v="14"/>
    <n v="8"/>
    <n v="8"/>
    <n v="0"/>
    <n v="0"/>
    <s v="No"/>
    <x v="1"/>
  </r>
  <r>
    <s v="falls"/>
    <n v="3"/>
    <x v="0"/>
    <x v="14"/>
    <n v="8"/>
    <n v="8"/>
    <n v="0"/>
    <n v="0"/>
    <s v="No"/>
    <x v="1"/>
  </r>
  <r>
    <s v="falls"/>
    <n v="3"/>
    <x v="1"/>
    <x v="15"/>
    <n v="8"/>
    <n v="0"/>
    <n v="8"/>
    <n v="12.4"/>
    <s v="No"/>
    <x v="1"/>
  </r>
  <r>
    <s v="falls"/>
    <n v="4"/>
    <x v="0"/>
    <x v="16"/>
    <n v="8"/>
    <n v="0"/>
    <n v="8"/>
    <n v="0"/>
    <s v="No"/>
    <x v="1"/>
  </r>
  <r>
    <s v="falls"/>
    <n v="4"/>
    <x v="0"/>
    <x v="16"/>
    <n v="8"/>
    <n v="0"/>
    <n v="8"/>
    <n v="0"/>
    <s v="No"/>
    <x v="1"/>
  </r>
  <r>
    <s v="falls"/>
    <n v="4"/>
    <x v="1"/>
    <x v="17"/>
    <n v="8"/>
    <n v="0"/>
    <n v="8"/>
    <n v="7"/>
    <s v="No"/>
    <x v="1"/>
  </r>
  <r>
    <s v="falls"/>
    <n v="4"/>
    <x v="1"/>
    <x v="17"/>
    <n v="8"/>
    <n v="8"/>
    <n v="0"/>
    <n v="0"/>
    <s v="No"/>
    <x v="1"/>
  </r>
  <r>
    <s v="quail"/>
    <n v="1"/>
    <x v="0"/>
    <x v="18"/>
    <n v="8"/>
    <n v="0"/>
    <n v="8"/>
    <n v="3"/>
    <s v="No"/>
    <x v="1"/>
  </r>
  <r>
    <s v="quail"/>
    <n v="1"/>
    <x v="0"/>
    <x v="18"/>
    <n v="8"/>
    <n v="8"/>
    <n v="0"/>
    <n v="0"/>
    <s v="No"/>
    <x v="1"/>
  </r>
  <r>
    <s v="quail"/>
    <n v="4"/>
    <x v="0"/>
    <x v="20"/>
    <n v="8"/>
    <n v="0"/>
    <n v="8"/>
    <n v="5.3"/>
    <s v="No"/>
    <x v="1"/>
  </r>
  <r>
    <s v="quail"/>
    <n v="4"/>
    <x v="0"/>
    <x v="20"/>
    <n v="8"/>
    <n v="0"/>
    <n v="8"/>
    <n v="7"/>
    <s v="No"/>
    <x v="1"/>
  </r>
  <r>
    <s v="alps"/>
    <n v="5"/>
    <x v="0"/>
    <x v="22"/>
    <n v="8"/>
    <n v="8"/>
    <n v="0"/>
    <n v="0"/>
    <s v="No"/>
    <x v="1"/>
  </r>
  <r>
    <s v="alps"/>
    <n v="5"/>
    <x v="1"/>
    <x v="23"/>
    <n v="8"/>
    <n v="0"/>
    <n v="8"/>
    <n v="4"/>
    <s v="No"/>
    <x v="1"/>
  </r>
  <r>
    <s v="alps"/>
    <n v="5"/>
    <x v="1"/>
    <x v="23"/>
    <n v="8"/>
    <n v="8"/>
    <n v="0"/>
    <n v="0"/>
    <s v="No"/>
    <x v="1"/>
  </r>
  <r>
    <s v="alps"/>
    <n v="5"/>
    <x v="1"/>
    <x v="23"/>
    <n v="8"/>
    <n v="0"/>
    <n v="8"/>
    <n v="6.4"/>
    <s v="No"/>
    <x v="1"/>
  </r>
  <r>
    <s v="alps"/>
    <n v="5"/>
    <x v="1"/>
    <x v="23"/>
    <n v="8"/>
    <n v="0"/>
    <n v="8"/>
    <n v="4.4000000000000004"/>
    <s v="No"/>
    <x v="1"/>
  </r>
  <r>
    <s v="alps"/>
    <n v="1"/>
    <x v="1"/>
    <x v="24"/>
    <n v="8"/>
    <n v="0"/>
    <n v="8"/>
    <n v="9.6"/>
    <s v="No"/>
    <x v="1"/>
  </r>
  <r>
    <s v="alps"/>
    <n v="6"/>
    <x v="1"/>
    <x v="26"/>
    <n v="8"/>
    <n v="8"/>
    <n v="0"/>
    <n v="0"/>
    <s v="No"/>
    <x v="1"/>
  </r>
  <r>
    <s v="cockatoo"/>
    <n v="10"/>
    <x v="0"/>
    <x v="28"/>
    <n v="8"/>
    <n v="0"/>
    <n v="8"/>
    <n v="9.3000000000000007"/>
    <s v="No"/>
    <x v="1"/>
  </r>
  <r>
    <s v="cockatoo"/>
    <n v="10"/>
    <x v="0"/>
    <x v="28"/>
    <n v="8"/>
    <n v="8"/>
    <n v="0"/>
    <n v="0"/>
    <s v="No"/>
    <x v="1"/>
  </r>
  <r>
    <s v="cockatoo"/>
    <n v="10"/>
    <x v="1"/>
    <x v="29"/>
    <n v="8"/>
    <n v="0"/>
    <n v="8"/>
    <n v="5.4"/>
    <s v="No"/>
    <x v="1"/>
  </r>
  <r>
    <s v="cockatoo"/>
    <n v="11"/>
    <x v="1"/>
    <x v="31"/>
    <n v="8"/>
    <n v="8"/>
    <n v="0"/>
    <n v="0"/>
    <s v="No"/>
    <x v="1"/>
  </r>
  <r>
    <s v="superblock"/>
    <n v="1"/>
    <x v="1"/>
    <x v="1"/>
    <n v="9"/>
    <n v="9"/>
    <n v="0"/>
    <n v="0"/>
    <s v="No"/>
    <x v="1"/>
  </r>
  <r>
    <s v="superblock"/>
    <n v="1"/>
    <x v="1"/>
    <x v="1"/>
    <n v="9"/>
    <n v="0"/>
    <n v="9"/>
    <n v="4.5"/>
    <s v="No"/>
    <x v="1"/>
  </r>
  <r>
    <s v="superblock"/>
    <n v="2"/>
    <x v="0"/>
    <x v="2"/>
    <n v="9"/>
    <n v="0"/>
    <n v="9"/>
    <n v="4"/>
    <s v="No"/>
    <x v="1"/>
  </r>
  <r>
    <s v="superblock"/>
    <n v="2"/>
    <x v="0"/>
    <x v="2"/>
    <n v="9"/>
    <n v="0"/>
    <n v="9"/>
    <n v="3.5"/>
    <s v="No"/>
    <x v="1"/>
  </r>
  <r>
    <s v="superblock"/>
    <n v="2"/>
    <x v="1"/>
    <x v="3"/>
    <n v="9"/>
    <n v="0"/>
    <n v="9"/>
    <n v="7.7"/>
    <s v="No"/>
    <x v="1"/>
  </r>
  <r>
    <s v="superblock"/>
    <n v="2"/>
    <x v="1"/>
    <x v="3"/>
    <n v="9"/>
    <n v="0"/>
    <n v="9"/>
    <n v="5"/>
    <s v="No"/>
    <x v="1"/>
  </r>
  <r>
    <s v="superblock"/>
    <n v="3"/>
    <x v="0"/>
    <x v="4"/>
    <n v="9"/>
    <n v="9"/>
    <n v="0"/>
    <n v="0"/>
    <s v="No"/>
    <x v="1"/>
  </r>
  <r>
    <s v="superblock"/>
    <n v="3"/>
    <x v="0"/>
    <x v="4"/>
    <n v="9"/>
    <n v="9"/>
    <n v="0"/>
    <n v="7.1"/>
    <s v="No"/>
    <x v="1"/>
  </r>
  <r>
    <s v="superblock"/>
    <n v="4"/>
    <x v="0"/>
    <x v="6"/>
    <n v="9"/>
    <n v="0"/>
    <n v="9"/>
    <n v="11.9"/>
    <s v="No"/>
    <x v="1"/>
  </r>
  <r>
    <s v="falls"/>
    <n v="1"/>
    <x v="0"/>
    <x v="8"/>
    <n v="9"/>
    <n v="0"/>
    <n v="9"/>
    <n v="8"/>
    <s v="No"/>
    <x v="1"/>
  </r>
  <r>
    <s v="falls"/>
    <n v="1"/>
    <x v="0"/>
    <x v="8"/>
    <n v="9"/>
    <n v="0"/>
    <n v="9"/>
    <n v="0"/>
    <s v="No"/>
    <x v="1"/>
  </r>
  <r>
    <s v="falls"/>
    <n v="2"/>
    <x v="1"/>
    <x v="11"/>
    <n v="9"/>
    <n v="9"/>
    <n v="0"/>
    <n v="0"/>
    <s v="No"/>
    <x v="1"/>
  </r>
  <r>
    <s v="falls"/>
    <n v="2"/>
    <x v="1"/>
    <x v="11"/>
    <n v="9"/>
    <n v="0"/>
    <n v="9"/>
    <n v="1"/>
    <s v="No"/>
    <x v="1"/>
  </r>
  <r>
    <s v="falls"/>
    <n v="2"/>
    <x v="1"/>
    <x v="11"/>
    <n v="9"/>
    <n v="0"/>
    <n v="9"/>
    <n v="7.5"/>
    <s v="No"/>
    <x v="1"/>
  </r>
  <r>
    <s v="falls"/>
    <n v="5"/>
    <x v="0"/>
    <x v="12"/>
    <n v="9"/>
    <n v="0"/>
    <n v="9"/>
    <n v="1.1000000000000001"/>
    <s v="No"/>
    <x v="1"/>
  </r>
  <r>
    <s v="falls"/>
    <n v="3"/>
    <x v="1"/>
    <x v="15"/>
    <n v="9"/>
    <n v="0"/>
    <n v="9"/>
    <n v="10.199999999999999"/>
    <s v="No"/>
    <x v="1"/>
  </r>
  <r>
    <s v="quail"/>
    <n v="4"/>
    <x v="0"/>
    <x v="20"/>
    <n v="9"/>
    <n v="0"/>
    <n v="9"/>
    <n v="13.5"/>
    <s v="No"/>
    <x v="1"/>
  </r>
  <r>
    <s v="alps"/>
    <n v="1"/>
    <x v="1"/>
    <x v="24"/>
    <n v="9"/>
    <n v="0"/>
    <n v="9"/>
    <n v="6.1"/>
    <s v="No"/>
    <x v="1"/>
  </r>
  <r>
    <s v="alps"/>
    <n v="6"/>
    <x v="1"/>
    <x v="26"/>
    <n v="9"/>
    <n v="0"/>
    <n v="9"/>
    <n v="6"/>
    <s v="No"/>
    <x v="1"/>
  </r>
  <r>
    <s v="cockatoo"/>
    <n v="8"/>
    <x v="1"/>
    <x v="27"/>
    <n v="9"/>
    <n v="9"/>
    <n v="0"/>
    <n v="0"/>
    <s v="No"/>
    <x v="1"/>
  </r>
  <r>
    <s v="cockatoo"/>
    <n v="10"/>
    <x v="1"/>
    <x v="29"/>
    <n v="9"/>
    <n v="9"/>
    <n v="0"/>
    <n v="0"/>
    <s v="No"/>
    <x v="1"/>
  </r>
  <r>
    <s v="cockatoo"/>
    <n v="11"/>
    <x v="1"/>
    <x v="31"/>
    <n v="9"/>
    <n v="0"/>
    <n v="9"/>
    <n v="9.6"/>
    <s v="No"/>
    <x v="1"/>
  </r>
  <r>
    <s v="superblock"/>
    <n v="1"/>
    <x v="0"/>
    <x v="0"/>
    <n v="10"/>
    <n v="7"/>
    <n v="3"/>
    <n v="3"/>
    <s v="Yes"/>
    <x v="2"/>
  </r>
  <r>
    <s v="superblock"/>
    <n v="1"/>
    <x v="1"/>
    <x v="1"/>
    <n v="10"/>
    <n v="0"/>
    <n v="10"/>
    <n v="4.5999999999999996"/>
    <s v="Yes"/>
    <x v="2"/>
  </r>
  <r>
    <s v="superblock"/>
    <n v="2"/>
    <x v="0"/>
    <x v="2"/>
    <n v="10"/>
    <n v="0"/>
    <n v="10"/>
    <n v="7.4"/>
    <s v="Yes"/>
    <x v="2"/>
  </r>
  <r>
    <s v="superblock"/>
    <n v="3"/>
    <x v="1"/>
    <x v="5"/>
    <n v="10"/>
    <n v="0"/>
    <n v="10"/>
    <n v="14.3"/>
    <s v="Yes"/>
    <x v="2"/>
  </r>
  <r>
    <s v="superblock"/>
    <n v="4"/>
    <x v="0"/>
    <x v="6"/>
    <n v="10"/>
    <n v="0"/>
    <n v="10"/>
    <n v="10.199999999999999"/>
    <s v="Yes"/>
    <x v="2"/>
  </r>
  <r>
    <s v="falls"/>
    <n v="1"/>
    <x v="0"/>
    <x v="8"/>
    <n v="10"/>
    <n v="0"/>
    <n v="10"/>
    <n v="0.5"/>
    <s v="No"/>
    <x v="2"/>
  </r>
  <r>
    <s v="falls"/>
    <n v="1"/>
    <x v="0"/>
    <x v="8"/>
    <n v="10"/>
    <n v="10"/>
    <n v="0"/>
    <n v="0"/>
    <s v="No"/>
    <x v="2"/>
  </r>
  <r>
    <s v="falls"/>
    <n v="1"/>
    <x v="1"/>
    <x v="9"/>
    <n v="10"/>
    <n v="0"/>
    <n v="10"/>
    <n v="0.5"/>
    <s v="No"/>
    <x v="2"/>
  </r>
  <r>
    <s v="falls"/>
    <n v="1"/>
    <x v="1"/>
    <x v="9"/>
    <n v="10"/>
    <n v="0"/>
    <n v="10"/>
    <n v="4.3"/>
    <s v="Yes"/>
    <x v="2"/>
  </r>
  <r>
    <s v="falls"/>
    <n v="1"/>
    <x v="1"/>
    <x v="9"/>
    <n v="10"/>
    <n v="4.5"/>
    <n v="5.5"/>
    <n v="0"/>
    <s v="No"/>
    <x v="2"/>
  </r>
  <r>
    <s v="falls"/>
    <n v="1"/>
    <x v="1"/>
    <x v="9"/>
    <n v="10"/>
    <n v="0"/>
    <n v="10"/>
    <n v="6.1"/>
    <s v="Yes"/>
    <x v="2"/>
  </r>
  <r>
    <s v="falls"/>
    <n v="2"/>
    <x v="1"/>
    <x v="11"/>
    <n v="10"/>
    <n v="0"/>
    <n v="10"/>
    <n v="16.2"/>
    <s v="Yes"/>
    <x v="2"/>
  </r>
  <r>
    <s v="falls"/>
    <n v="2"/>
    <x v="1"/>
    <x v="11"/>
    <n v="10"/>
    <n v="0"/>
    <n v="10"/>
    <n v="4"/>
    <s v="Yes"/>
    <x v="2"/>
  </r>
  <r>
    <s v="falls"/>
    <n v="2"/>
    <x v="1"/>
    <x v="11"/>
    <n v="10"/>
    <n v="0"/>
    <n v="10"/>
    <n v="6.5"/>
    <s v="Yes"/>
    <x v="2"/>
  </r>
  <r>
    <s v="falls"/>
    <n v="5"/>
    <x v="0"/>
    <x v="12"/>
    <n v="10"/>
    <n v="0"/>
    <n v="10"/>
    <n v="5.0999999999999996"/>
    <s v="Yes"/>
    <x v="2"/>
  </r>
  <r>
    <s v="falls"/>
    <n v="5"/>
    <x v="0"/>
    <x v="12"/>
    <n v="10"/>
    <n v="0"/>
    <n v="10"/>
    <n v="10.9"/>
    <s v="Yes"/>
    <x v="2"/>
  </r>
  <r>
    <s v="falls"/>
    <n v="5"/>
    <x v="1"/>
    <x v="13"/>
    <n v="10"/>
    <n v="10"/>
    <n v="0"/>
    <n v="0"/>
    <s v="No"/>
    <x v="2"/>
  </r>
  <r>
    <s v="falls"/>
    <n v="3"/>
    <x v="0"/>
    <x v="14"/>
    <n v="10"/>
    <n v="0"/>
    <n v="10"/>
    <n v="11"/>
    <s v="Yes"/>
    <x v="2"/>
  </r>
  <r>
    <s v="falls"/>
    <n v="3"/>
    <x v="0"/>
    <x v="14"/>
    <n v="10"/>
    <n v="0"/>
    <n v="10"/>
    <n v="9.1"/>
    <s v="Yes"/>
    <x v="2"/>
  </r>
  <r>
    <s v="falls"/>
    <n v="3"/>
    <x v="0"/>
    <x v="14"/>
    <n v="10"/>
    <n v="0"/>
    <n v="10"/>
    <n v="9.1"/>
    <s v="Yes"/>
    <x v="2"/>
  </r>
  <r>
    <s v="quail"/>
    <n v="1"/>
    <x v="0"/>
    <x v="18"/>
    <n v="10"/>
    <n v="0"/>
    <n v="10"/>
    <n v="9.3000000000000007"/>
    <s v="Yes"/>
    <x v="2"/>
  </r>
  <r>
    <s v="quail"/>
    <n v="4"/>
    <x v="1"/>
    <x v="21"/>
    <n v="10"/>
    <n v="0"/>
    <n v="10"/>
    <n v="7.3"/>
    <s v="Yes"/>
    <x v="2"/>
  </r>
  <r>
    <s v="alps"/>
    <n v="5"/>
    <x v="1"/>
    <x v="23"/>
    <n v="10"/>
    <n v="0"/>
    <n v="10"/>
    <n v="2.5"/>
    <s v="Yes"/>
    <x v="2"/>
  </r>
  <r>
    <s v="alps"/>
    <n v="5"/>
    <x v="1"/>
    <x v="23"/>
    <n v="10"/>
    <n v="0"/>
    <n v="10"/>
    <n v="1.7"/>
    <s v="Yes"/>
    <x v="2"/>
  </r>
  <r>
    <s v="alps"/>
    <n v="1"/>
    <x v="1"/>
    <x v="24"/>
    <n v="10"/>
    <n v="0"/>
    <n v="10"/>
    <n v="14.3"/>
    <s v="Yes"/>
    <x v="2"/>
  </r>
  <r>
    <s v="alps"/>
    <n v="1"/>
    <x v="1"/>
    <x v="24"/>
    <n v="10"/>
    <n v="10"/>
    <n v="0"/>
    <n v="0"/>
    <s v="No"/>
    <x v="2"/>
  </r>
  <r>
    <s v="alps"/>
    <n v="6"/>
    <x v="1"/>
    <x v="26"/>
    <n v="10"/>
    <n v="0"/>
    <n v="10"/>
    <n v="5.2"/>
    <s v="Yes"/>
    <x v="2"/>
  </r>
  <r>
    <s v="cockatoo"/>
    <n v="10"/>
    <x v="1"/>
    <x v="29"/>
    <n v="10"/>
    <n v="0"/>
    <n v="10"/>
    <n v="3.3"/>
    <s v="Yes"/>
    <x v="2"/>
  </r>
  <r>
    <s v="cockatoo"/>
    <n v="11"/>
    <x v="1"/>
    <x v="31"/>
    <n v="10"/>
    <n v="0"/>
    <n v="10"/>
    <n v="2.4"/>
    <s v="Yes"/>
    <x v="2"/>
  </r>
  <r>
    <s v="cockatoo"/>
    <n v="11"/>
    <x v="1"/>
    <x v="31"/>
    <n v="10"/>
    <n v="0"/>
    <n v="10"/>
    <n v="9.6"/>
    <s v="Yes"/>
    <x v="2"/>
  </r>
  <r>
    <s v="superblock"/>
    <n v="1"/>
    <x v="1"/>
    <x v="1"/>
    <n v="11"/>
    <n v="11"/>
    <n v="0"/>
    <n v="0"/>
    <s v="No"/>
    <x v="2"/>
  </r>
  <r>
    <s v="superblock"/>
    <n v="2"/>
    <x v="0"/>
    <x v="2"/>
    <n v="11"/>
    <n v="0"/>
    <n v="11"/>
    <n v="2.6"/>
    <s v="Yes"/>
    <x v="2"/>
  </r>
  <r>
    <s v="superblock"/>
    <n v="2"/>
    <x v="0"/>
    <x v="2"/>
    <n v="11"/>
    <n v="0"/>
    <n v="11"/>
    <n v="4.5"/>
    <s v="Yes"/>
    <x v="2"/>
  </r>
  <r>
    <s v="superblock"/>
    <n v="3"/>
    <x v="0"/>
    <x v="4"/>
    <n v="11"/>
    <n v="0"/>
    <n v="11"/>
    <n v="7.2"/>
    <s v="Yes"/>
    <x v="2"/>
  </r>
  <r>
    <s v="superblock"/>
    <n v="3"/>
    <x v="0"/>
    <x v="4"/>
    <n v="11"/>
    <n v="8"/>
    <n v="3"/>
    <n v="0.2"/>
    <s v="Yes"/>
    <x v="2"/>
  </r>
  <r>
    <s v="superblock"/>
    <n v="4"/>
    <x v="1"/>
    <x v="7"/>
    <n v="11"/>
    <n v="11"/>
    <n v="0"/>
    <n v="0"/>
    <s v="No"/>
    <x v="2"/>
  </r>
  <r>
    <s v="superblock"/>
    <n v="4"/>
    <x v="1"/>
    <x v="7"/>
    <n v="11"/>
    <n v="0"/>
    <n v="11"/>
    <n v="10.4"/>
    <s v="Yes"/>
    <x v="2"/>
  </r>
  <r>
    <s v="falls"/>
    <n v="1"/>
    <x v="1"/>
    <x v="9"/>
    <n v="11"/>
    <n v="0"/>
    <n v="11"/>
    <n v="1.5"/>
    <s v="Yes"/>
    <x v="2"/>
  </r>
  <r>
    <s v="falls"/>
    <n v="1"/>
    <x v="1"/>
    <x v="9"/>
    <n v="11"/>
    <n v="0"/>
    <n v="11"/>
    <n v="4.8"/>
    <s v="Yes"/>
    <x v="2"/>
  </r>
  <r>
    <s v="falls"/>
    <n v="1"/>
    <x v="1"/>
    <x v="9"/>
    <n v="11"/>
    <n v="0"/>
    <n v="11"/>
    <n v="10"/>
    <s v="Yes"/>
    <x v="2"/>
  </r>
  <r>
    <s v="falls"/>
    <n v="2"/>
    <x v="0"/>
    <x v="10"/>
    <n v="11"/>
    <n v="0"/>
    <n v="11"/>
    <n v="1.7"/>
    <s v="Yes"/>
    <x v="2"/>
  </r>
  <r>
    <s v="falls"/>
    <n v="2"/>
    <x v="1"/>
    <x v="11"/>
    <n v="11"/>
    <n v="0"/>
    <n v="11"/>
    <n v="6.8"/>
    <s v="Yes"/>
    <x v="2"/>
  </r>
  <r>
    <s v="falls"/>
    <n v="5"/>
    <x v="0"/>
    <x v="12"/>
    <n v="11"/>
    <n v="0"/>
    <n v="11"/>
    <n v="10.7"/>
    <s v="Yes"/>
    <x v="2"/>
  </r>
  <r>
    <s v="falls"/>
    <n v="5"/>
    <x v="1"/>
    <x v="13"/>
    <n v="11"/>
    <n v="11"/>
    <n v="0"/>
    <n v="0"/>
    <s v="No"/>
    <x v="2"/>
  </r>
  <r>
    <s v="falls"/>
    <n v="3"/>
    <x v="0"/>
    <x v="14"/>
    <n v="11"/>
    <n v="0"/>
    <n v="11"/>
    <n v="11.2"/>
    <s v="Yes"/>
    <x v="2"/>
  </r>
  <r>
    <s v="falls"/>
    <n v="4"/>
    <x v="1"/>
    <x v="17"/>
    <n v="11"/>
    <n v="0"/>
    <n v="11"/>
    <n v="7.3"/>
    <s v="Yes"/>
    <x v="2"/>
  </r>
  <r>
    <s v="quail"/>
    <n v="1"/>
    <x v="0"/>
    <x v="18"/>
    <n v="11"/>
    <n v="0"/>
    <n v="11"/>
    <n v="4.0999999999999996"/>
    <s v="Yes"/>
    <x v="2"/>
  </r>
  <r>
    <s v="quail"/>
    <n v="4"/>
    <x v="0"/>
    <x v="20"/>
    <n v="11"/>
    <n v="0"/>
    <n v="11"/>
    <n v="6.7"/>
    <s v="Yes"/>
    <x v="2"/>
  </r>
  <r>
    <s v="quail"/>
    <n v="4"/>
    <x v="1"/>
    <x v="21"/>
    <n v="11"/>
    <n v="11"/>
    <n v="0"/>
    <n v="0"/>
    <s v="No"/>
    <x v="2"/>
  </r>
  <r>
    <s v="quail"/>
    <n v="4"/>
    <x v="1"/>
    <x v="21"/>
    <n v="11"/>
    <n v="11"/>
    <n v="0"/>
    <n v="0"/>
    <s v="No"/>
    <x v="2"/>
  </r>
  <r>
    <s v="alps"/>
    <n v="5"/>
    <x v="1"/>
    <x v="23"/>
    <n v="11"/>
    <n v="0"/>
    <n v="11"/>
    <n v="5.3"/>
    <s v="Yes"/>
    <x v="2"/>
  </r>
  <r>
    <s v="alps"/>
    <n v="5"/>
    <x v="1"/>
    <x v="23"/>
    <n v="11"/>
    <n v="11"/>
    <n v="0"/>
    <n v="0"/>
    <s v="No"/>
    <x v="2"/>
  </r>
  <r>
    <s v="alps"/>
    <n v="5"/>
    <x v="1"/>
    <x v="23"/>
    <n v="11"/>
    <n v="0"/>
    <n v="11"/>
    <n v="2.1"/>
    <s v="Yes"/>
    <x v="2"/>
  </r>
  <r>
    <s v="alps"/>
    <n v="5"/>
    <x v="1"/>
    <x v="23"/>
    <n v="11"/>
    <n v="0"/>
    <n v="11"/>
    <n v="1.7"/>
    <s v="Yes"/>
    <x v="2"/>
  </r>
  <r>
    <s v="alps"/>
    <n v="1"/>
    <x v="1"/>
    <x v="24"/>
    <n v="11"/>
    <n v="0"/>
    <n v="11"/>
    <n v="12"/>
    <s v="Yes"/>
    <x v="2"/>
  </r>
  <r>
    <s v="alps"/>
    <n v="6"/>
    <x v="1"/>
    <x v="26"/>
    <n v="11"/>
    <n v="11"/>
    <n v="0"/>
    <n v="0"/>
    <s v="No"/>
    <x v="2"/>
  </r>
  <r>
    <s v="cockatoo"/>
    <n v="8"/>
    <x v="0"/>
    <x v="33"/>
    <n v="11"/>
    <n v="0"/>
    <n v="11"/>
    <n v="5.7"/>
    <s v="Yes"/>
    <x v="2"/>
  </r>
  <r>
    <s v="cockatoo"/>
    <n v="8"/>
    <x v="1"/>
    <x v="27"/>
    <n v="11"/>
    <n v="0"/>
    <n v="11"/>
    <n v="9.3000000000000007"/>
    <s v="Yes"/>
    <x v="2"/>
  </r>
  <r>
    <s v="cockatoo"/>
    <n v="10"/>
    <x v="1"/>
    <x v="29"/>
    <n v="11"/>
    <n v="0"/>
    <n v="11"/>
    <n v="8.6999999999999993"/>
    <s v="Yes"/>
    <x v="2"/>
  </r>
  <r>
    <s v="cockatoo"/>
    <n v="10"/>
    <x v="1"/>
    <x v="29"/>
    <n v="11"/>
    <n v="0"/>
    <n v="11"/>
    <n v="8.1"/>
    <s v="Yes"/>
    <x v="2"/>
  </r>
  <r>
    <s v="superblock"/>
    <n v="1"/>
    <x v="0"/>
    <x v="0"/>
    <n v="12"/>
    <n v="0"/>
    <n v="12"/>
    <n v="5.0999999999999996"/>
    <s v="Yes"/>
    <x v="2"/>
  </r>
  <r>
    <s v="superblock"/>
    <n v="1"/>
    <x v="1"/>
    <x v="1"/>
    <n v="12"/>
    <n v="0"/>
    <n v="12"/>
    <n v="3.4"/>
    <s v="Yes"/>
    <x v="2"/>
  </r>
  <r>
    <s v="superblock"/>
    <n v="1"/>
    <x v="1"/>
    <x v="1"/>
    <n v="12"/>
    <n v="0"/>
    <n v="12"/>
    <n v="0.7"/>
    <s v="No"/>
    <x v="2"/>
  </r>
  <r>
    <s v="superblock"/>
    <n v="1"/>
    <x v="1"/>
    <x v="1"/>
    <n v="12"/>
    <n v="0"/>
    <n v="12"/>
    <n v="4.3"/>
    <s v="Yes"/>
    <x v="2"/>
  </r>
  <r>
    <s v="superblock"/>
    <n v="2"/>
    <x v="0"/>
    <x v="2"/>
    <n v="12"/>
    <n v="0"/>
    <n v="12"/>
    <n v="3.9"/>
    <s v="Yes"/>
    <x v="2"/>
  </r>
  <r>
    <s v="superblock"/>
    <n v="2"/>
    <x v="0"/>
    <x v="2"/>
    <n v="12"/>
    <n v="0"/>
    <n v="12"/>
    <n v="10"/>
    <s v="Yes"/>
    <x v="2"/>
  </r>
  <r>
    <s v="superblock"/>
    <n v="3"/>
    <x v="0"/>
    <x v="4"/>
    <n v="12"/>
    <n v="0"/>
    <n v="12"/>
    <n v="7.3"/>
    <s v="Yes"/>
    <x v="2"/>
  </r>
  <r>
    <s v="superblock"/>
    <n v="3"/>
    <x v="0"/>
    <x v="4"/>
    <n v="12"/>
    <n v="0"/>
    <n v="12"/>
    <n v="13.1"/>
    <s v="Yes"/>
    <x v="2"/>
  </r>
  <r>
    <s v="superblock"/>
    <n v="3"/>
    <x v="1"/>
    <x v="5"/>
    <n v="12"/>
    <n v="0"/>
    <n v="12"/>
    <n v="14.6"/>
    <s v="Yes"/>
    <x v="2"/>
  </r>
  <r>
    <s v="superblock"/>
    <n v="4"/>
    <x v="0"/>
    <x v="6"/>
    <n v="12"/>
    <n v="0"/>
    <n v="12"/>
    <n v="12.1"/>
    <s v="Yes"/>
    <x v="2"/>
  </r>
  <r>
    <s v="superblock"/>
    <n v="4"/>
    <x v="0"/>
    <x v="6"/>
    <n v="12"/>
    <n v="0"/>
    <n v="12"/>
    <n v="12.7"/>
    <s v="Yes"/>
    <x v="2"/>
  </r>
  <r>
    <s v="falls"/>
    <n v="1"/>
    <x v="0"/>
    <x v="8"/>
    <n v="12"/>
    <n v="0"/>
    <n v="12"/>
    <n v="2.5"/>
    <s v="Yes"/>
    <x v="2"/>
  </r>
  <r>
    <s v="falls"/>
    <n v="1"/>
    <x v="0"/>
    <x v="8"/>
    <n v="12"/>
    <n v="0"/>
    <n v="12"/>
    <n v="2.2000000000000002"/>
    <s v="Yes"/>
    <x v="2"/>
  </r>
  <r>
    <s v="falls"/>
    <n v="1"/>
    <x v="0"/>
    <x v="8"/>
    <n v="12"/>
    <n v="0"/>
    <n v="12"/>
    <n v="6.3"/>
    <s v="Yes"/>
    <x v="2"/>
  </r>
  <r>
    <s v="falls"/>
    <n v="1"/>
    <x v="1"/>
    <x v="9"/>
    <n v="12"/>
    <n v="0"/>
    <n v="12"/>
    <n v="11"/>
    <s v="Yes"/>
    <x v="2"/>
  </r>
  <r>
    <s v="falls"/>
    <n v="1"/>
    <x v="1"/>
    <x v="9"/>
    <n v="12"/>
    <n v="0"/>
    <n v="12"/>
    <n v="2"/>
    <s v="Yes"/>
    <x v="2"/>
  </r>
  <r>
    <s v="falls"/>
    <n v="2"/>
    <x v="1"/>
    <x v="11"/>
    <n v="12"/>
    <n v="0"/>
    <n v="12"/>
    <n v="10.7"/>
    <s v="Yes"/>
    <x v="2"/>
  </r>
  <r>
    <s v="falls"/>
    <n v="2"/>
    <x v="1"/>
    <x v="11"/>
    <n v="12"/>
    <n v="0"/>
    <n v="12"/>
    <n v="4.8"/>
    <s v="Yes"/>
    <x v="2"/>
  </r>
  <r>
    <s v="falls"/>
    <n v="3"/>
    <x v="1"/>
    <x v="15"/>
    <n v="12"/>
    <n v="12"/>
    <n v="0"/>
    <n v="0"/>
    <s v="No"/>
    <x v="2"/>
  </r>
  <r>
    <s v="quail"/>
    <n v="1"/>
    <x v="0"/>
    <x v="18"/>
    <n v="12"/>
    <n v="0"/>
    <n v="12"/>
    <n v="11.4"/>
    <s v="Yes"/>
    <x v="2"/>
  </r>
  <r>
    <s v="quail"/>
    <n v="1"/>
    <x v="0"/>
    <x v="18"/>
    <n v="12"/>
    <n v="0"/>
    <n v="12"/>
    <n v="10.5"/>
    <s v="Yes"/>
    <x v="2"/>
  </r>
  <r>
    <s v="quail"/>
    <n v="1"/>
    <x v="0"/>
    <x v="18"/>
    <n v="12"/>
    <n v="0"/>
    <n v="12"/>
    <n v="12.3"/>
    <s v="Yes"/>
    <x v="2"/>
  </r>
  <r>
    <s v="quail"/>
    <n v="1"/>
    <x v="0"/>
    <x v="18"/>
    <n v="12"/>
    <n v="0"/>
    <n v="12"/>
    <n v="15.8"/>
    <s v="Yes"/>
    <x v="2"/>
  </r>
  <r>
    <s v="quail"/>
    <n v="4"/>
    <x v="0"/>
    <x v="20"/>
    <n v="12"/>
    <n v="12"/>
    <n v="0"/>
    <n v="0"/>
    <s v="No"/>
    <x v="2"/>
  </r>
  <r>
    <s v="quail"/>
    <n v="4"/>
    <x v="1"/>
    <x v="21"/>
    <n v="12"/>
    <n v="0"/>
    <n v="12"/>
    <n v="0.5"/>
    <s v="No"/>
    <x v="2"/>
  </r>
  <r>
    <s v="alps"/>
    <n v="5"/>
    <x v="1"/>
    <x v="23"/>
    <n v="12"/>
    <n v="0"/>
    <n v="12"/>
    <n v="9"/>
    <s v="Yes"/>
    <x v="2"/>
  </r>
  <r>
    <s v="alps"/>
    <n v="1"/>
    <x v="1"/>
    <x v="24"/>
    <n v="12"/>
    <n v="6"/>
    <n v="6"/>
    <n v="8"/>
    <s v="Yes"/>
    <x v="2"/>
  </r>
  <r>
    <s v="cockatoo"/>
    <n v="10"/>
    <x v="1"/>
    <x v="29"/>
    <n v="12"/>
    <n v="0"/>
    <n v="12"/>
    <n v="3.3"/>
    <s v="Yes"/>
    <x v="2"/>
  </r>
  <r>
    <s v="cockatoo"/>
    <n v="10"/>
    <x v="1"/>
    <x v="29"/>
    <n v="12"/>
    <n v="0"/>
    <n v="12"/>
    <n v="4.4000000000000004"/>
    <s v="Yes"/>
    <x v="2"/>
  </r>
  <r>
    <s v="cockatoo"/>
    <n v="11"/>
    <x v="1"/>
    <x v="31"/>
    <n v="12"/>
    <n v="0"/>
    <n v="12"/>
    <n v="2"/>
    <s v="Yes"/>
    <x v="2"/>
  </r>
  <r>
    <s v="superblock"/>
    <n v="1"/>
    <x v="0"/>
    <x v="0"/>
    <n v="13"/>
    <n v="10"/>
    <n v="3"/>
    <n v="0"/>
    <s v="No"/>
    <x v="2"/>
  </r>
  <r>
    <s v="superblock"/>
    <n v="1"/>
    <x v="1"/>
    <x v="1"/>
    <n v="13"/>
    <n v="0"/>
    <n v="13"/>
    <n v="7"/>
    <s v="Yes"/>
    <x v="2"/>
  </r>
  <r>
    <s v="superblock"/>
    <n v="1"/>
    <x v="1"/>
    <x v="1"/>
    <n v="13"/>
    <n v="0"/>
    <n v="13"/>
    <n v="7.1"/>
    <s v="Yes"/>
    <x v="2"/>
  </r>
  <r>
    <s v="superblock"/>
    <n v="1"/>
    <x v="1"/>
    <x v="1"/>
    <n v="13"/>
    <n v="0"/>
    <n v="13"/>
    <n v="6.3"/>
    <s v="Yes"/>
    <x v="2"/>
  </r>
  <r>
    <s v="superblock"/>
    <n v="2"/>
    <x v="0"/>
    <x v="2"/>
    <n v="13"/>
    <n v="0"/>
    <n v="13"/>
    <n v="11"/>
    <s v="Yes"/>
    <x v="2"/>
  </r>
  <r>
    <s v="superblock"/>
    <n v="2"/>
    <x v="0"/>
    <x v="2"/>
    <n v="13"/>
    <n v="0"/>
    <n v="13"/>
    <n v="7.4"/>
    <s v="Yes"/>
    <x v="2"/>
  </r>
  <r>
    <s v="superblock"/>
    <n v="3"/>
    <x v="1"/>
    <x v="5"/>
    <n v="13"/>
    <n v="0"/>
    <n v="13"/>
    <n v="12.5"/>
    <s v="Yes"/>
    <x v="2"/>
  </r>
  <r>
    <s v="superblock"/>
    <n v="3"/>
    <x v="1"/>
    <x v="5"/>
    <n v="13"/>
    <n v="6"/>
    <n v="7"/>
    <n v="3.2"/>
    <s v="Yes"/>
    <x v="2"/>
  </r>
  <r>
    <s v="superblock"/>
    <n v="3"/>
    <x v="1"/>
    <x v="5"/>
    <n v="13"/>
    <n v="0"/>
    <n v="13"/>
    <n v="12.1"/>
    <s v="Yes"/>
    <x v="2"/>
  </r>
  <r>
    <s v="superblock"/>
    <n v="3"/>
    <x v="1"/>
    <x v="5"/>
    <n v="13"/>
    <n v="13"/>
    <n v="0"/>
    <n v="0"/>
    <s v="No"/>
    <x v="2"/>
  </r>
  <r>
    <s v="superblock"/>
    <n v="4"/>
    <x v="0"/>
    <x v="6"/>
    <n v="13"/>
    <n v="0"/>
    <n v="13"/>
    <n v="4"/>
    <s v="Yes"/>
    <x v="2"/>
  </r>
  <r>
    <s v="superblock"/>
    <n v="4"/>
    <x v="0"/>
    <x v="6"/>
    <n v="13"/>
    <n v="0"/>
    <n v="13"/>
    <n v="9.8000000000000007"/>
    <s v="Yes"/>
    <x v="2"/>
  </r>
  <r>
    <s v="superblock"/>
    <n v="4"/>
    <x v="0"/>
    <x v="6"/>
    <n v="13"/>
    <n v="0"/>
    <n v="13"/>
    <n v="10.6"/>
    <s v="Yes"/>
    <x v="2"/>
  </r>
  <r>
    <s v="superblock"/>
    <n v="4"/>
    <x v="0"/>
    <x v="6"/>
    <n v="13"/>
    <n v="6"/>
    <n v="7"/>
    <n v="2.5"/>
    <s v="Yes"/>
    <x v="2"/>
  </r>
  <r>
    <s v="falls"/>
    <n v="1"/>
    <x v="0"/>
    <x v="8"/>
    <n v="13"/>
    <n v="0"/>
    <n v="13"/>
    <n v="0"/>
    <s v="No"/>
    <x v="2"/>
  </r>
  <r>
    <s v="falls"/>
    <n v="1"/>
    <x v="0"/>
    <x v="8"/>
    <n v="13"/>
    <n v="0"/>
    <n v="13"/>
    <n v="4"/>
    <s v="Yes"/>
    <x v="2"/>
  </r>
  <r>
    <s v="falls"/>
    <n v="1"/>
    <x v="1"/>
    <x v="9"/>
    <n v="13"/>
    <n v="0"/>
    <n v="13"/>
    <n v="6.9"/>
    <s v="Yes"/>
    <x v="2"/>
  </r>
  <r>
    <s v="falls"/>
    <n v="1"/>
    <x v="1"/>
    <x v="9"/>
    <n v="13"/>
    <n v="0"/>
    <n v="13"/>
    <n v="10.8"/>
    <s v="Yes"/>
    <x v="2"/>
  </r>
  <r>
    <s v="falls"/>
    <n v="2"/>
    <x v="0"/>
    <x v="10"/>
    <n v="13"/>
    <n v="0"/>
    <n v="13"/>
    <n v="11"/>
    <s v="Yes"/>
    <x v="2"/>
  </r>
  <r>
    <s v="falls"/>
    <n v="2"/>
    <x v="1"/>
    <x v="11"/>
    <n v="13"/>
    <n v="0"/>
    <n v="13"/>
    <n v="2"/>
    <s v="Yes"/>
    <x v="2"/>
  </r>
  <r>
    <s v="falls"/>
    <n v="2"/>
    <x v="1"/>
    <x v="11"/>
    <n v="13"/>
    <n v="0"/>
    <n v="13"/>
    <n v="11"/>
    <s v="Yes"/>
    <x v="2"/>
  </r>
  <r>
    <s v="falls"/>
    <n v="5"/>
    <x v="1"/>
    <x v="13"/>
    <n v="13"/>
    <n v="13"/>
    <n v="0"/>
    <n v="0"/>
    <s v="No"/>
    <x v="2"/>
  </r>
  <r>
    <s v="quail"/>
    <n v="1"/>
    <x v="0"/>
    <x v="18"/>
    <n v="13"/>
    <n v="0"/>
    <n v="13"/>
    <n v="6.3"/>
    <s v="Yes"/>
    <x v="2"/>
  </r>
  <r>
    <s v="quail"/>
    <n v="1"/>
    <x v="0"/>
    <x v="18"/>
    <n v="13"/>
    <n v="0"/>
    <n v="13"/>
    <n v="17.100000000000001"/>
    <s v="Yes"/>
    <x v="2"/>
  </r>
  <r>
    <s v="alps"/>
    <n v="5"/>
    <x v="1"/>
    <x v="23"/>
    <n v="13"/>
    <n v="13"/>
    <n v="0"/>
    <n v="0"/>
    <s v="No"/>
    <x v="2"/>
  </r>
  <r>
    <s v="cockatoo"/>
    <n v="8"/>
    <x v="0"/>
    <x v="33"/>
    <n v="13"/>
    <n v="0"/>
    <n v="13"/>
    <n v="12.6"/>
    <s v="Yes"/>
    <x v="2"/>
  </r>
  <r>
    <s v="cockatoo"/>
    <n v="8"/>
    <x v="1"/>
    <x v="27"/>
    <n v="13"/>
    <n v="0"/>
    <n v="13"/>
    <n v="11"/>
    <s v="Yes"/>
    <x v="2"/>
  </r>
  <r>
    <s v="cockatoo"/>
    <n v="11"/>
    <x v="0"/>
    <x v="30"/>
    <n v="13"/>
    <n v="0"/>
    <n v="13"/>
    <n v="7.8"/>
    <s v="Yes"/>
    <x v="2"/>
  </r>
  <r>
    <s v="cockatoo"/>
    <n v="11"/>
    <x v="1"/>
    <x v="31"/>
    <n v="13"/>
    <n v="0"/>
    <n v="13"/>
    <n v="11.4"/>
    <s v="Yes"/>
    <x v="2"/>
  </r>
  <r>
    <s v="superblock"/>
    <n v="1"/>
    <x v="0"/>
    <x v="0"/>
    <n v="14"/>
    <n v="11"/>
    <n v="3"/>
    <n v="0"/>
    <s v="No"/>
    <x v="2"/>
  </r>
  <r>
    <s v="superblock"/>
    <n v="1"/>
    <x v="1"/>
    <x v="1"/>
    <n v="14"/>
    <n v="0"/>
    <n v="14"/>
    <n v="8.9"/>
    <s v="Yes"/>
    <x v="2"/>
  </r>
  <r>
    <s v="superblock"/>
    <n v="1"/>
    <x v="1"/>
    <x v="1"/>
    <n v="14"/>
    <n v="0"/>
    <n v="14"/>
    <n v="5.2"/>
    <s v="Yes"/>
    <x v="2"/>
  </r>
  <r>
    <s v="superblock"/>
    <n v="2"/>
    <x v="0"/>
    <x v="2"/>
    <n v="14"/>
    <n v="0"/>
    <n v="14"/>
    <n v="5.0999999999999996"/>
    <s v="Yes"/>
    <x v="2"/>
  </r>
  <r>
    <s v="superblock"/>
    <n v="2"/>
    <x v="1"/>
    <x v="3"/>
    <n v="14"/>
    <n v="0"/>
    <n v="14"/>
    <n v="12.5"/>
    <s v="Yes"/>
    <x v="2"/>
  </r>
  <r>
    <s v="superblock"/>
    <n v="2"/>
    <x v="1"/>
    <x v="3"/>
    <n v="14"/>
    <n v="14"/>
    <n v="0"/>
    <n v="0"/>
    <s v="No"/>
    <x v="2"/>
  </r>
  <r>
    <s v="superblock"/>
    <n v="3"/>
    <x v="0"/>
    <x v="4"/>
    <n v="14"/>
    <n v="0"/>
    <n v="14"/>
    <n v="11.1"/>
    <s v="Yes"/>
    <x v="2"/>
  </r>
  <r>
    <s v="superblock"/>
    <n v="4"/>
    <x v="0"/>
    <x v="6"/>
    <n v="14"/>
    <n v="11"/>
    <n v="3"/>
    <n v="0"/>
    <s v="No"/>
    <x v="2"/>
  </r>
  <r>
    <s v="superblock"/>
    <n v="4"/>
    <x v="1"/>
    <x v="7"/>
    <n v="14"/>
    <n v="0"/>
    <n v="14"/>
    <n v="7.4"/>
    <s v="Yes"/>
    <x v="2"/>
  </r>
  <r>
    <s v="falls"/>
    <n v="1"/>
    <x v="0"/>
    <x v="8"/>
    <n v="14"/>
    <n v="0"/>
    <n v="14"/>
    <n v="3.7"/>
    <s v="Yes"/>
    <x v="2"/>
  </r>
  <r>
    <s v="falls"/>
    <n v="1"/>
    <x v="1"/>
    <x v="9"/>
    <n v="14"/>
    <n v="0"/>
    <n v="14"/>
    <n v="5.9"/>
    <s v="Yes"/>
    <x v="2"/>
  </r>
  <r>
    <s v="falls"/>
    <n v="5"/>
    <x v="0"/>
    <x v="12"/>
    <n v="14"/>
    <n v="0"/>
    <n v="14"/>
    <n v="7.4"/>
    <s v="Yes"/>
    <x v="2"/>
  </r>
  <r>
    <s v="falls"/>
    <n v="5"/>
    <x v="1"/>
    <x v="13"/>
    <n v="14"/>
    <n v="0"/>
    <n v="14"/>
    <n v="4.8"/>
    <s v="Yes"/>
    <x v="2"/>
  </r>
  <r>
    <s v="falls"/>
    <n v="3"/>
    <x v="1"/>
    <x v="15"/>
    <n v="14"/>
    <n v="0"/>
    <n v="14"/>
    <n v="2.7"/>
    <s v="Yes"/>
    <x v="2"/>
  </r>
  <r>
    <s v="falls"/>
    <n v="4"/>
    <x v="0"/>
    <x v="16"/>
    <n v="14"/>
    <n v="0"/>
    <n v="14"/>
    <n v="9.6999999999999993"/>
    <s v="Yes"/>
    <x v="2"/>
  </r>
  <r>
    <s v="quail"/>
    <n v="1"/>
    <x v="0"/>
    <x v="18"/>
    <n v="14"/>
    <n v="0"/>
    <n v="14"/>
    <n v="12.2"/>
    <s v="Yes"/>
    <x v="2"/>
  </r>
  <r>
    <s v="quail"/>
    <n v="4"/>
    <x v="1"/>
    <x v="21"/>
    <n v="14"/>
    <n v="14"/>
    <n v="0"/>
    <n v="0"/>
    <s v="No"/>
    <x v="2"/>
  </r>
  <r>
    <s v="alps"/>
    <n v="6"/>
    <x v="1"/>
    <x v="26"/>
    <n v="14"/>
    <n v="0"/>
    <n v="14"/>
    <n v="11.3"/>
    <s v="Yes"/>
    <x v="2"/>
  </r>
  <r>
    <s v="cockatoo"/>
    <n v="11"/>
    <x v="0"/>
    <x v="30"/>
    <n v="14"/>
    <n v="0"/>
    <n v="14"/>
    <n v="4.0999999999999996"/>
    <s v="Yes"/>
    <x v="2"/>
  </r>
  <r>
    <s v="cockatoo"/>
    <n v="11"/>
    <x v="1"/>
    <x v="31"/>
    <n v="14"/>
    <n v="14"/>
    <n v="0"/>
    <n v="0"/>
    <s v="No"/>
    <x v="2"/>
  </r>
  <r>
    <s v="cockatoo"/>
    <n v="11"/>
    <x v="1"/>
    <x v="31"/>
    <n v="14"/>
    <n v="14"/>
    <n v="0"/>
    <n v="0"/>
    <s v="No"/>
    <x v="2"/>
  </r>
  <r>
    <s v="cockatoo"/>
    <n v="11"/>
    <x v="1"/>
    <x v="31"/>
    <n v="14"/>
    <n v="0"/>
    <n v="14"/>
    <n v="15.7"/>
    <s v="Yes"/>
    <x v="2"/>
  </r>
  <r>
    <s v="superblock"/>
    <n v="1"/>
    <x v="1"/>
    <x v="1"/>
    <n v="15"/>
    <n v="0"/>
    <n v="15"/>
    <n v="3.2"/>
    <s v="Yes"/>
    <x v="2"/>
  </r>
  <r>
    <s v="superblock"/>
    <n v="3"/>
    <x v="0"/>
    <x v="4"/>
    <n v="15"/>
    <n v="15"/>
    <n v="0"/>
    <n v="0"/>
    <s v="No"/>
    <x v="2"/>
  </r>
  <r>
    <s v="falls"/>
    <n v="1"/>
    <x v="0"/>
    <x v="8"/>
    <n v="15"/>
    <n v="0"/>
    <n v="15"/>
    <n v="7.9"/>
    <s v="Yes"/>
    <x v="2"/>
  </r>
  <r>
    <s v="falls"/>
    <n v="1"/>
    <x v="1"/>
    <x v="9"/>
    <n v="15"/>
    <n v="0"/>
    <n v="15"/>
    <n v="6.1"/>
    <s v="Yes"/>
    <x v="2"/>
  </r>
  <r>
    <s v="falls"/>
    <n v="1"/>
    <x v="1"/>
    <x v="9"/>
    <n v="15"/>
    <n v="0"/>
    <n v="15"/>
    <n v="7"/>
    <s v="Yes"/>
    <x v="2"/>
  </r>
  <r>
    <s v="falls"/>
    <n v="2"/>
    <x v="0"/>
    <x v="10"/>
    <n v="15"/>
    <n v="0"/>
    <n v="15"/>
    <n v="2.6"/>
    <s v="Yes"/>
    <x v="2"/>
  </r>
  <r>
    <s v="falls"/>
    <n v="2"/>
    <x v="1"/>
    <x v="11"/>
    <n v="15"/>
    <n v="15"/>
    <n v="0"/>
    <n v="0"/>
    <s v="No"/>
    <x v="2"/>
  </r>
  <r>
    <s v="falls"/>
    <n v="2"/>
    <x v="1"/>
    <x v="11"/>
    <n v="15"/>
    <n v="0"/>
    <n v="15"/>
    <n v="0.6"/>
    <s v="No"/>
    <x v="2"/>
  </r>
  <r>
    <s v="falls"/>
    <n v="2"/>
    <x v="1"/>
    <x v="11"/>
    <n v="15"/>
    <n v="0"/>
    <n v="15"/>
    <n v="8.1999999999999993"/>
    <s v="Yes"/>
    <x v="2"/>
  </r>
  <r>
    <s v="falls"/>
    <n v="2"/>
    <x v="1"/>
    <x v="11"/>
    <n v="15"/>
    <n v="0"/>
    <n v="15"/>
    <n v="4.8"/>
    <s v="Yes"/>
    <x v="2"/>
  </r>
  <r>
    <s v="falls"/>
    <n v="5"/>
    <x v="1"/>
    <x v="13"/>
    <n v="15"/>
    <n v="0"/>
    <n v="15"/>
    <n v="4"/>
    <s v="Yes"/>
    <x v="2"/>
  </r>
  <r>
    <s v="falls"/>
    <n v="3"/>
    <x v="0"/>
    <x v="14"/>
    <n v="15"/>
    <n v="0"/>
    <n v="15"/>
    <n v="7.7"/>
    <s v="Yes"/>
    <x v="2"/>
  </r>
  <r>
    <s v="quail"/>
    <n v="1"/>
    <x v="0"/>
    <x v="18"/>
    <n v="15"/>
    <n v="0"/>
    <n v="15"/>
    <n v="4.3"/>
    <s v="Yes"/>
    <x v="2"/>
  </r>
  <r>
    <s v="alps"/>
    <n v="5"/>
    <x v="1"/>
    <x v="23"/>
    <n v="15"/>
    <n v="0"/>
    <n v="15"/>
    <n v="0.8"/>
    <s v="No"/>
    <x v="2"/>
  </r>
  <r>
    <s v="alps"/>
    <n v="5"/>
    <x v="1"/>
    <x v="23"/>
    <n v="15"/>
    <n v="0"/>
    <n v="15"/>
    <n v="5.2"/>
    <s v="Yes"/>
    <x v="2"/>
  </r>
  <r>
    <s v="cockatoo"/>
    <n v="11"/>
    <x v="1"/>
    <x v="31"/>
    <n v="15"/>
    <n v="0"/>
    <n v="15"/>
    <n v="10.6"/>
    <s v="Yes"/>
    <x v="2"/>
  </r>
  <r>
    <s v="superblock"/>
    <n v="1"/>
    <x v="1"/>
    <x v="1"/>
    <n v="16"/>
    <n v="0"/>
    <n v="16"/>
    <n v="2.7"/>
    <s v="Yes"/>
    <x v="2"/>
  </r>
  <r>
    <s v="superblock"/>
    <n v="2"/>
    <x v="0"/>
    <x v="2"/>
    <n v="16"/>
    <n v="0"/>
    <n v="16"/>
    <n v="13.2"/>
    <s v="Yes"/>
    <x v="2"/>
  </r>
  <r>
    <s v="superblock"/>
    <n v="2"/>
    <x v="1"/>
    <x v="3"/>
    <n v="16"/>
    <n v="0"/>
    <n v="16"/>
    <n v="5.2"/>
    <s v="Yes"/>
    <x v="2"/>
  </r>
  <r>
    <s v="superblock"/>
    <n v="3"/>
    <x v="1"/>
    <x v="5"/>
    <n v="16"/>
    <n v="0"/>
    <n v="16"/>
    <n v="8.4"/>
    <s v="Yes"/>
    <x v="2"/>
  </r>
  <r>
    <s v="superblock"/>
    <n v="3"/>
    <x v="1"/>
    <x v="5"/>
    <n v="16"/>
    <n v="0"/>
    <n v="16"/>
    <n v="19.7"/>
    <s v="Yes"/>
    <x v="2"/>
  </r>
  <r>
    <s v="superblock"/>
    <n v="4"/>
    <x v="0"/>
    <x v="6"/>
    <n v="16"/>
    <n v="3"/>
    <n v="13"/>
    <n v="5.4"/>
    <s v="Yes"/>
    <x v="2"/>
  </r>
  <r>
    <s v="falls"/>
    <n v="1"/>
    <x v="0"/>
    <x v="8"/>
    <n v="16"/>
    <n v="0"/>
    <n v="16"/>
    <n v="9.4"/>
    <s v="Yes"/>
    <x v="2"/>
  </r>
  <r>
    <s v="falls"/>
    <n v="1"/>
    <x v="0"/>
    <x v="8"/>
    <n v="16"/>
    <n v="0"/>
    <n v="16"/>
    <n v="5.8"/>
    <s v="Yes"/>
    <x v="2"/>
  </r>
  <r>
    <s v="falls"/>
    <n v="1"/>
    <x v="1"/>
    <x v="9"/>
    <n v="16"/>
    <n v="0"/>
    <n v="16"/>
    <n v="7"/>
    <s v="Yes"/>
    <x v="2"/>
  </r>
  <r>
    <s v="falls"/>
    <n v="2"/>
    <x v="1"/>
    <x v="11"/>
    <n v="16"/>
    <n v="0"/>
    <n v="16"/>
    <n v="2.6"/>
    <s v="Yes"/>
    <x v="2"/>
  </r>
  <r>
    <s v="falls"/>
    <n v="2"/>
    <x v="1"/>
    <x v="11"/>
    <n v="16"/>
    <n v="0"/>
    <n v="16"/>
    <n v="6.9"/>
    <s v="Yes"/>
    <x v="2"/>
  </r>
  <r>
    <s v="falls"/>
    <n v="2"/>
    <x v="1"/>
    <x v="11"/>
    <n v="16"/>
    <n v="0"/>
    <n v="16"/>
    <n v="7.8"/>
    <s v="Yes"/>
    <x v="2"/>
  </r>
  <r>
    <s v="falls"/>
    <n v="4"/>
    <x v="1"/>
    <x v="17"/>
    <n v="16"/>
    <n v="0"/>
    <n v="16"/>
    <n v="15.6"/>
    <s v="Yes"/>
    <x v="2"/>
  </r>
  <r>
    <s v="alps"/>
    <n v="5"/>
    <x v="1"/>
    <x v="23"/>
    <n v="16"/>
    <n v="0"/>
    <n v="16"/>
    <n v="0.3"/>
    <s v="No"/>
    <x v="2"/>
  </r>
  <r>
    <s v="alps"/>
    <n v="5"/>
    <x v="1"/>
    <x v="23"/>
    <n v="16"/>
    <n v="0"/>
    <n v="16"/>
    <n v="11.5"/>
    <s v="Yes"/>
    <x v="2"/>
  </r>
  <r>
    <s v="alps"/>
    <n v="5"/>
    <x v="1"/>
    <x v="23"/>
    <n v="16"/>
    <n v="0"/>
    <n v="16"/>
    <n v="2.1"/>
    <s v="Yes"/>
    <x v="2"/>
  </r>
  <r>
    <s v="alps"/>
    <n v="1"/>
    <x v="0"/>
    <x v="32"/>
    <n v="16"/>
    <n v="14"/>
    <n v="2"/>
    <n v="0"/>
    <s v="No"/>
    <x v="2"/>
  </r>
  <r>
    <s v="alps"/>
    <n v="1"/>
    <x v="1"/>
    <x v="24"/>
    <n v="16"/>
    <n v="12"/>
    <n v="4"/>
    <n v="0"/>
    <s v="No"/>
    <x v="2"/>
  </r>
  <r>
    <s v="cockatoo"/>
    <n v="11"/>
    <x v="1"/>
    <x v="31"/>
    <n v="16"/>
    <n v="0"/>
    <n v="16"/>
    <n v="16.100000000000001"/>
    <s v="Yes"/>
    <x v="2"/>
  </r>
  <r>
    <s v="superblock"/>
    <n v="1"/>
    <x v="0"/>
    <x v="0"/>
    <n v="17"/>
    <n v="0"/>
    <n v="17"/>
    <n v="15.8"/>
    <s v="Yes"/>
    <x v="2"/>
  </r>
  <r>
    <s v="superblock"/>
    <n v="1"/>
    <x v="1"/>
    <x v="1"/>
    <n v="17"/>
    <n v="17"/>
    <n v="0"/>
    <n v="0"/>
    <s v="No"/>
    <x v="2"/>
  </r>
  <r>
    <s v="superblock"/>
    <n v="1"/>
    <x v="1"/>
    <x v="1"/>
    <n v="17"/>
    <n v="3"/>
    <n v="14"/>
    <n v="0.3"/>
    <s v="No"/>
    <x v="2"/>
  </r>
  <r>
    <s v="superblock"/>
    <n v="2"/>
    <x v="1"/>
    <x v="3"/>
    <n v="17"/>
    <n v="0"/>
    <n v="17"/>
    <n v="9.6999999999999993"/>
    <s v="Yes"/>
    <x v="2"/>
  </r>
  <r>
    <s v="superblock"/>
    <n v="2"/>
    <x v="1"/>
    <x v="3"/>
    <n v="17"/>
    <n v="10"/>
    <n v="7"/>
    <n v="0"/>
    <s v="No"/>
    <x v="2"/>
  </r>
  <r>
    <s v="superblock"/>
    <n v="3"/>
    <x v="0"/>
    <x v="4"/>
    <n v="17"/>
    <n v="15"/>
    <n v="2"/>
    <n v="0"/>
    <s v="No"/>
    <x v="2"/>
  </r>
  <r>
    <s v="superblock"/>
    <n v="3"/>
    <x v="0"/>
    <x v="4"/>
    <n v="17"/>
    <n v="12"/>
    <n v="5"/>
    <n v="0"/>
    <s v="No"/>
    <x v="2"/>
  </r>
  <r>
    <s v="superblock"/>
    <n v="3"/>
    <x v="1"/>
    <x v="5"/>
    <n v="17"/>
    <n v="14"/>
    <n v="3"/>
    <n v="0"/>
    <s v="No"/>
    <x v="2"/>
  </r>
  <r>
    <s v="superblock"/>
    <n v="3"/>
    <x v="1"/>
    <x v="5"/>
    <n v="17"/>
    <n v="0"/>
    <n v="17"/>
    <n v="7.9"/>
    <s v="Yes"/>
    <x v="2"/>
  </r>
  <r>
    <s v="superblock"/>
    <n v="3"/>
    <x v="1"/>
    <x v="5"/>
    <n v="17"/>
    <n v="11"/>
    <n v="6"/>
    <n v="0"/>
    <s v="No"/>
    <x v="2"/>
  </r>
  <r>
    <s v="falls"/>
    <n v="2"/>
    <x v="1"/>
    <x v="11"/>
    <n v="17"/>
    <n v="0"/>
    <n v="17"/>
    <n v="7.1"/>
    <s v="Yes"/>
    <x v="2"/>
  </r>
  <r>
    <s v="falls"/>
    <n v="5"/>
    <x v="0"/>
    <x v="12"/>
    <n v="17"/>
    <n v="0"/>
    <n v="17"/>
    <n v="12"/>
    <s v="Yes"/>
    <x v="2"/>
  </r>
  <r>
    <s v="falls"/>
    <n v="4"/>
    <x v="0"/>
    <x v="16"/>
    <n v="17"/>
    <n v="0"/>
    <n v="17"/>
    <n v="2.4"/>
    <s v="Yes"/>
    <x v="2"/>
  </r>
  <r>
    <s v="quail"/>
    <n v="1"/>
    <x v="0"/>
    <x v="18"/>
    <n v="17"/>
    <n v="0"/>
    <n v="17"/>
    <n v="12.3"/>
    <s v="Yes"/>
    <x v="2"/>
  </r>
  <r>
    <s v="quail"/>
    <n v="4"/>
    <x v="0"/>
    <x v="20"/>
    <n v="17"/>
    <n v="0"/>
    <n v="17"/>
    <n v="6"/>
    <s v="Yes"/>
    <x v="2"/>
  </r>
  <r>
    <s v="quail"/>
    <n v="4"/>
    <x v="1"/>
    <x v="21"/>
    <n v="17"/>
    <n v="15"/>
    <n v="2"/>
    <n v="0"/>
    <s v="No"/>
    <x v="2"/>
  </r>
  <r>
    <s v="alps"/>
    <n v="5"/>
    <x v="1"/>
    <x v="23"/>
    <n v="17"/>
    <n v="0"/>
    <n v="17"/>
    <n v="8.3000000000000007"/>
    <s v="Yes"/>
    <x v="2"/>
  </r>
  <r>
    <s v="alps"/>
    <n v="5"/>
    <x v="1"/>
    <x v="23"/>
    <n v="17"/>
    <n v="0"/>
    <n v="17"/>
    <n v="7.3"/>
    <s v="Yes"/>
    <x v="2"/>
  </r>
  <r>
    <s v="alps"/>
    <n v="5"/>
    <x v="1"/>
    <x v="23"/>
    <n v="17"/>
    <n v="0"/>
    <n v="17"/>
    <n v="6"/>
    <s v="Yes"/>
    <x v="2"/>
  </r>
  <r>
    <s v="alps"/>
    <n v="1"/>
    <x v="1"/>
    <x v="24"/>
    <n v="17"/>
    <n v="0"/>
    <n v="17"/>
    <n v="8"/>
    <s v="Yes"/>
    <x v="2"/>
  </r>
  <r>
    <s v="cockatoo"/>
    <n v="8"/>
    <x v="1"/>
    <x v="27"/>
    <n v="17"/>
    <n v="0"/>
    <n v="17"/>
    <n v="10.5"/>
    <s v="Yes"/>
    <x v="2"/>
  </r>
  <r>
    <s v="cockatoo"/>
    <n v="10"/>
    <x v="1"/>
    <x v="29"/>
    <n v="17"/>
    <n v="0"/>
    <n v="17"/>
    <n v="8.4"/>
    <s v="Yes"/>
    <x v="2"/>
  </r>
  <r>
    <s v="superblock"/>
    <n v="1"/>
    <x v="1"/>
    <x v="1"/>
    <n v="18"/>
    <n v="0"/>
    <n v="18"/>
    <n v="7.3"/>
    <s v="Yes"/>
    <x v="2"/>
  </r>
  <r>
    <s v="superblock"/>
    <n v="1"/>
    <x v="1"/>
    <x v="1"/>
    <n v="18"/>
    <n v="0"/>
    <n v="18"/>
    <n v="7.6"/>
    <s v="Yes"/>
    <x v="2"/>
  </r>
  <r>
    <s v="superblock"/>
    <n v="2"/>
    <x v="0"/>
    <x v="2"/>
    <n v="18"/>
    <n v="0"/>
    <n v="18"/>
    <n v="3.7"/>
    <s v="Yes"/>
    <x v="2"/>
  </r>
  <r>
    <s v="superblock"/>
    <n v="3"/>
    <x v="0"/>
    <x v="4"/>
    <n v="18"/>
    <n v="0"/>
    <n v="18"/>
    <n v="1.2"/>
    <s v="Yes"/>
    <x v="2"/>
  </r>
  <r>
    <s v="superblock"/>
    <n v="3"/>
    <x v="1"/>
    <x v="5"/>
    <n v="18"/>
    <n v="0"/>
    <n v="18"/>
    <n v="11.7"/>
    <s v="Yes"/>
    <x v="2"/>
  </r>
  <r>
    <s v="superblock"/>
    <n v="4"/>
    <x v="0"/>
    <x v="6"/>
    <n v="18"/>
    <n v="0"/>
    <n v="18"/>
    <n v="14.2"/>
    <s v="Yes"/>
    <x v="2"/>
  </r>
  <r>
    <s v="falls"/>
    <n v="1"/>
    <x v="1"/>
    <x v="9"/>
    <n v="18"/>
    <n v="0"/>
    <n v="18"/>
    <n v="4.5"/>
    <s v="Yes"/>
    <x v="2"/>
  </r>
  <r>
    <s v="falls"/>
    <n v="2"/>
    <x v="0"/>
    <x v="10"/>
    <n v="18"/>
    <n v="0"/>
    <n v="18"/>
    <n v="11"/>
    <s v="Yes"/>
    <x v="2"/>
  </r>
  <r>
    <s v="falls"/>
    <n v="2"/>
    <x v="1"/>
    <x v="11"/>
    <n v="18"/>
    <n v="0"/>
    <n v="18"/>
    <n v="6.1"/>
    <s v="Yes"/>
    <x v="2"/>
  </r>
  <r>
    <s v="falls"/>
    <n v="5"/>
    <x v="0"/>
    <x v="12"/>
    <n v="18"/>
    <n v="0"/>
    <n v="18"/>
    <n v="12.5"/>
    <s v="Yes"/>
    <x v="2"/>
  </r>
  <r>
    <s v="falls"/>
    <n v="3"/>
    <x v="0"/>
    <x v="14"/>
    <n v="18"/>
    <n v="0"/>
    <n v="18"/>
    <n v="11"/>
    <s v="Yes"/>
    <x v="2"/>
  </r>
  <r>
    <s v="falls"/>
    <n v="3"/>
    <x v="1"/>
    <x v="15"/>
    <n v="18"/>
    <n v="0"/>
    <n v="18"/>
    <n v="4"/>
    <s v="Yes"/>
    <x v="2"/>
  </r>
  <r>
    <s v="falls"/>
    <n v="4"/>
    <x v="0"/>
    <x v="16"/>
    <n v="18"/>
    <n v="0"/>
    <n v="18"/>
    <n v="10.4"/>
    <s v="Yes"/>
    <x v="2"/>
  </r>
  <r>
    <s v="quail"/>
    <n v="4"/>
    <x v="0"/>
    <x v="20"/>
    <n v="18"/>
    <n v="0"/>
    <n v="18"/>
    <n v="8.1"/>
    <s v="Yes"/>
    <x v="2"/>
  </r>
  <r>
    <s v="quail"/>
    <n v="4"/>
    <x v="1"/>
    <x v="21"/>
    <n v="18"/>
    <n v="11"/>
    <n v="7"/>
    <n v="0"/>
    <s v="No"/>
    <x v="2"/>
  </r>
  <r>
    <s v="quail"/>
    <n v="4"/>
    <x v="1"/>
    <x v="21"/>
    <n v="18"/>
    <n v="18"/>
    <n v="0"/>
    <n v="0"/>
    <s v="No"/>
    <x v="2"/>
  </r>
  <r>
    <s v="cockatoo"/>
    <n v="8"/>
    <x v="0"/>
    <x v="33"/>
    <n v="18"/>
    <n v="0"/>
    <n v="18"/>
    <n v="7.3"/>
    <s v="Yes"/>
    <x v="2"/>
  </r>
  <r>
    <s v="cockatoo"/>
    <n v="10"/>
    <x v="1"/>
    <x v="29"/>
    <n v="18"/>
    <n v="0"/>
    <n v="18"/>
    <n v="10.1"/>
    <s v="Yes"/>
    <x v="2"/>
  </r>
  <r>
    <s v="superblock"/>
    <n v="2"/>
    <x v="1"/>
    <x v="3"/>
    <n v="19"/>
    <n v="11"/>
    <n v="8"/>
    <n v="0"/>
    <s v="No"/>
    <x v="2"/>
  </r>
  <r>
    <s v="superblock"/>
    <n v="3"/>
    <x v="0"/>
    <x v="4"/>
    <n v="19"/>
    <n v="0"/>
    <n v="19"/>
    <n v="11.4"/>
    <s v="Yes"/>
    <x v="2"/>
  </r>
  <r>
    <s v="superblock"/>
    <n v="3"/>
    <x v="1"/>
    <x v="5"/>
    <n v="19"/>
    <n v="0"/>
    <n v="19"/>
    <n v="14.3"/>
    <s v="Yes"/>
    <x v="2"/>
  </r>
  <r>
    <s v="falls"/>
    <n v="4"/>
    <x v="1"/>
    <x v="17"/>
    <n v="19"/>
    <n v="0"/>
    <n v="19"/>
    <n v="12.5"/>
    <s v="Yes"/>
    <x v="2"/>
  </r>
  <r>
    <s v="alps"/>
    <n v="5"/>
    <x v="1"/>
    <x v="23"/>
    <n v="19"/>
    <n v="0"/>
    <n v="19"/>
    <n v="4.3"/>
    <s v="Yes"/>
    <x v="2"/>
  </r>
  <r>
    <s v="cockatoo"/>
    <n v="10"/>
    <x v="0"/>
    <x v="28"/>
    <n v="19"/>
    <n v="0"/>
    <n v="19"/>
    <n v="14.8"/>
    <s v="Yes"/>
    <x v="2"/>
  </r>
  <r>
    <s v="cockatoo"/>
    <n v="11"/>
    <x v="0"/>
    <x v="30"/>
    <n v="19"/>
    <n v="0"/>
    <n v="19"/>
    <n v="6.6"/>
    <s v="Yes"/>
    <x v="2"/>
  </r>
  <r>
    <s v="cockatoo"/>
    <n v="11"/>
    <x v="1"/>
    <x v="31"/>
    <n v="19"/>
    <n v="0"/>
    <n v="19"/>
    <n v="6.7"/>
    <s v="Yes"/>
    <x v="2"/>
  </r>
  <r>
    <s v="superblock"/>
    <n v="1"/>
    <x v="0"/>
    <x v="0"/>
    <n v="20"/>
    <n v="12"/>
    <n v="8"/>
    <n v="0"/>
    <s v="No"/>
    <x v="2"/>
  </r>
  <r>
    <s v="superblock"/>
    <n v="1"/>
    <x v="1"/>
    <x v="1"/>
    <n v="20"/>
    <n v="12"/>
    <n v="8"/>
    <n v="0"/>
    <s v="No"/>
    <x v="2"/>
  </r>
  <r>
    <s v="superblock"/>
    <n v="2"/>
    <x v="1"/>
    <x v="3"/>
    <n v="20"/>
    <n v="0"/>
    <n v="20"/>
    <n v="12.8"/>
    <s v="Yes"/>
    <x v="2"/>
  </r>
  <r>
    <s v="superblock"/>
    <n v="2"/>
    <x v="1"/>
    <x v="3"/>
    <n v="20"/>
    <n v="0"/>
    <n v="20"/>
    <n v="11"/>
    <s v="Yes"/>
    <x v="2"/>
  </r>
  <r>
    <s v="falls"/>
    <n v="1"/>
    <x v="0"/>
    <x v="8"/>
    <n v="20"/>
    <n v="0"/>
    <n v="20"/>
    <n v="6.6"/>
    <s v="Yes"/>
    <x v="2"/>
  </r>
  <r>
    <s v="falls"/>
    <n v="4"/>
    <x v="1"/>
    <x v="17"/>
    <n v="20"/>
    <n v="20"/>
    <n v="0"/>
    <n v="0"/>
    <s v="No"/>
    <x v="2"/>
  </r>
  <r>
    <s v="quail"/>
    <n v="4"/>
    <x v="1"/>
    <x v="21"/>
    <n v="20"/>
    <n v="0"/>
    <n v="20"/>
    <n v="4"/>
    <s v="Yes"/>
    <x v="2"/>
  </r>
  <r>
    <s v="cockatoo"/>
    <n v="10"/>
    <x v="0"/>
    <x v="28"/>
    <n v="20"/>
    <n v="0"/>
    <n v="20"/>
    <n v="10.199999999999999"/>
    <s v="Yes"/>
    <x v="2"/>
  </r>
  <r>
    <s v="cockatoo"/>
    <n v="10"/>
    <x v="1"/>
    <x v="29"/>
    <n v="20"/>
    <n v="0"/>
    <n v="20"/>
    <n v="3.3"/>
    <s v="Yes"/>
    <x v="2"/>
  </r>
  <r>
    <s v="superblock"/>
    <n v="1"/>
    <x v="0"/>
    <x v="0"/>
    <n v="21"/>
    <n v="0"/>
    <n v="21"/>
    <n v="1"/>
    <s v="Yes"/>
    <x v="3"/>
  </r>
  <r>
    <s v="superblock"/>
    <n v="3"/>
    <x v="1"/>
    <x v="5"/>
    <n v="21"/>
    <n v="0"/>
    <n v="21"/>
    <n v="7.4"/>
    <s v="Yes"/>
    <x v="3"/>
  </r>
  <r>
    <s v="falls"/>
    <n v="1"/>
    <x v="1"/>
    <x v="9"/>
    <n v="21"/>
    <n v="0"/>
    <n v="21"/>
    <n v="93"/>
    <s v="Yes"/>
    <x v="3"/>
  </r>
  <r>
    <s v="falls"/>
    <n v="2"/>
    <x v="0"/>
    <x v="10"/>
    <n v="21"/>
    <n v="0"/>
    <n v="21"/>
    <n v="2.6"/>
    <s v="Yes"/>
    <x v="3"/>
  </r>
  <r>
    <s v="falls"/>
    <n v="2"/>
    <x v="1"/>
    <x v="11"/>
    <n v="21"/>
    <n v="0"/>
    <n v="21"/>
    <n v="11.2"/>
    <s v="Yes"/>
    <x v="3"/>
  </r>
  <r>
    <s v="falls"/>
    <n v="3"/>
    <x v="1"/>
    <x v="15"/>
    <n v="21"/>
    <n v="0"/>
    <n v="21"/>
    <n v="12.5"/>
    <s v="Yes"/>
    <x v="3"/>
  </r>
  <r>
    <s v="cockatoo"/>
    <n v="10"/>
    <x v="1"/>
    <x v="29"/>
    <n v="21"/>
    <n v="0"/>
    <n v="21"/>
    <n v="11"/>
    <s v="Yes"/>
    <x v="3"/>
  </r>
  <r>
    <s v="cockatoo"/>
    <n v="11"/>
    <x v="1"/>
    <x v="31"/>
    <n v="21"/>
    <n v="0"/>
    <n v="21"/>
    <n v="18.3"/>
    <s v="Yes"/>
    <x v="3"/>
  </r>
  <r>
    <s v="cockatoo"/>
    <n v="11"/>
    <x v="1"/>
    <x v="31"/>
    <n v="21"/>
    <n v="0"/>
    <n v="21"/>
    <n v="10.1"/>
    <s v="Yes"/>
    <x v="3"/>
  </r>
  <r>
    <s v="superblock"/>
    <n v="1"/>
    <x v="0"/>
    <x v="0"/>
    <n v="22"/>
    <n v="5"/>
    <n v="17"/>
    <n v="0.7"/>
    <s v="No"/>
    <x v="3"/>
  </r>
  <r>
    <s v="superblock"/>
    <n v="1"/>
    <x v="0"/>
    <x v="0"/>
    <n v="22"/>
    <n v="0"/>
    <n v="22"/>
    <n v="4.3"/>
    <s v="Yes"/>
    <x v="3"/>
  </r>
  <r>
    <s v="superblock"/>
    <n v="2"/>
    <x v="0"/>
    <x v="2"/>
    <n v="22"/>
    <n v="0"/>
    <n v="22"/>
    <n v="7.8"/>
    <s v="Yes"/>
    <x v="3"/>
  </r>
  <r>
    <s v="superblock"/>
    <n v="2"/>
    <x v="1"/>
    <x v="3"/>
    <n v="22"/>
    <n v="17.100000000000001"/>
    <n v="4.9000000000000004"/>
    <n v="0"/>
    <s v="No"/>
    <x v="3"/>
  </r>
  <r>
    <s v="superblock"/>
    <n v="3"/>
    <x v="0"/>
    <x v="4"/>
    <n v="22"/>
    <n v="0"/>
    <n v="22"/>
    <n v="8.5"/>
    <s v="Yes"/>
    <x v="3"/>
  </r>
  <r>
    <s v="superblock"/>
    <n v="3"/>
    <x v="0"/>
    <x v="4"/>
    <n v="22"/>
    <n v="0"/>
    <n v="22"/>
    <n v="8.6"/>
    <s v="Yes"/>
    <x v="3"/>
  </r>
  <r>
    <s v="superblock"/>
    <n v="3"/>
    <x v="0"/>
    <x v="4"/>
    <n v="22"/>
    <n v="0"/>
    <n v="22"/>
    <n v="10.7"/>
    <s v="Yes"/>
    <x v="3"/>
  </r>
  <r>
    <s v="superblock"/>
    <n v="3"/>
    <x v="0"/>
    <x v="4"/>
    <n v="22"/>
    <n v="0"/>
    <n v="22"/>
    <n v="11.3"/>
    <s v="Yes"/>
    <x v="3"/>
  </r>
  <r>
    <s v="superblock"/>
    <n v="3"/>
    <x v="1"/>
    <x v="5"/>
    <n v="22"/>
    <n v="0"/>
    <n v="22"/>
    <n v="6.3"/>
    <s v="Yes"/>
    <x v="3"/>
  </r>
  <r>
    <s v="falls"/>
    <n v="1"/>
    <x v="0"/>
    <x v="8"/>
    <n v="22"/>
    <n v="0"/>
    <n v="22"/>
    <n v="5.3"/>
    <s v="Yes"/>
    <x v="3"/>
  </r>
  <r>
    <s v="falls"/>
    <n v="1"/>
    <x v="1"/>
    <x v="9"/>
    <n v="22"/>
    <n v="0"/>
    <n v="22"/>
    <n v="7.8"/>
    <s v="Yes"/>
    <x v="3"/>
  </r>
  <r>
    <s v="falls"/>
    <n v="1"/>
    <x v="1"/>
    <x v="9"/>
    <n v="22"/>
    <n v="0"/>
    <n v="22"/>
    <n v="4.5"/>
    <s v="Yes"/>
    <x v="3"/>
  </r>
  <r>
    <s v="falls"/>
    <n v="4"/>
    <x v="0"/>
    <x v="16"/>
    <n v="22"/>
    <n v="0"/>
    <n v="22"/>
    <n v="9.6"/>
    <s v="Yes"/>
    <x v="3"/>
  </r>
  <r>
    <s v="quail"/>
    <n v="4"/>
    <x v="1"/>
    <x v="21"/>
    <n v="22"/>
    <n v="0"/>
    <n v="22"/>
    <n v="11"/>
    <s v="Yes"/>
    <x v="3"/>
  </r>
  <r>
    <s v="alps"/>
    <n v="5"/>
    <x v="1"/>
    <x v="23"/>
    <n v="22"/>
    <n v="0"/>
    <n v="22"/>
    <n v="0.7"/>
    <s v="No"/>
    <x v="3"/>
  </r>
  <r>
    <s v="alps"/>
    <n v="1"/>
    <x v="1"/>
    <x v="24"/>
    <n v="22"/>
    <n v="18"/>
    <n v="4"/>
    <n v="0"/>
    <s v="No"/>
    <x v="3"/>
  </r>
  <r>
    <s v="cockatoo"/>
    <n v="10"/>
    <x v="1"/>
    <x v="29"/>
    <n v="22"/>
    <n v="22"/>
    <n v="0"/>
    <n v="0"/>
    <s v="No"/>
    <x v="3"/>
  </r>
  <r>
    <s v="superblock"/>
    <n v="1"/>
    <x v="0"/>
    <x v="0"/>
    <n v="23"/>
    <n v="0"/>
    <n v="23"/>
    <n v="9.6"/>
    <s v="Yes"/>
    <x v="3"/>
  </r>
  <r>
    <s v="superblock"/>
    <n v="1"/>
    <x v="0"/>
    <x v="0"/>
    <n v="23"/>
    <n v="0"/>
    <n v="23"/>
    <n v="2.2000000000000002"/>
    <s v="Yes"/>
    <x v="3"/>
  </r>
  <r>
    <s v="superblock"/>
    <n v="1"/>
    <x v="1"/>
    <x v="1"/>
    <n v="23"/>
    <n v="0"/>
    <n v="23"/>
    <n v="7.9"/>
    <s v="Yes"/>
    <x v="3"/>
  </r>
  <r>
    <s v="superblock"/>
    <n v="1"/>
    <x v="1"/>
    <x v="1"/>
    <n v="23"/>
    <n v="0"/>
    <n v="23"/>
    <n v="8.4"/>
    <s v="Yes"/>
    <x v="3"/>
  </r>
  <r>
    <s v="superblock"/>
    <n v="1"/>
    <x v="1"/>
    <x v="1"/>
    <n v="23"/>
    <n v="0"/>
    <n v="23"/>
    <n v="1.3"/>
    <s v="Yes"/>
    <x v="3"/>
  </r>
  <r>
    <s v="superblock"/>
    <n v="1"/>
    <x v="1"/>
    <x v="1"/>
    <n v="23"/>
    <n v="0"/>
    <n v="23"/>
    <n v="9.1"/>
    <s v="Yes"/>
    <x v="3"/>
  </r>
  <r>
    <s v="superblock"/>
    <n v="3"/>
    <x v="0"/>
    <x v="4"/>
    <n v="23"/>
    <n v="20"/>
    <n v="3"/>
    <n v="0"/>
    <s v="No"/>
    <x v="3"/>
  </r>
  <r>
    <s v="superblock"/>
    <n v="3"/>
    <x v="1"/>
    <x v="5"/>
    <n v="23"/>
    <n v="0"/>
    <n v="23"/>
    <n v="9.6999999999999993"/>
    <s v="Yes"/>
    <x v="3"/>
  </r>
  <r>
    <s v="superblock"/>
    <n v="3"/>
    <x v="1"/>
    <x v="5"/>
    <n v="23"/>
    <n v="0"/>
    <n v="23"/>
    <n v="7.1"/>
    <s v="Yes"/>
    <x v="3"/>
  </r>
  <r>
    <s v="quail"/>
    <n v="4"/>
    <x v="1"/>
    <x v="21"/>
    <n v="23"/>
    <n v="0"/>
    <n v="23"/>
    <n v="8.8000000000000007"/>
    <s v="Yes"/>
    <x v="3"/>
  </r>
  <r>
    <s v="alps"/>
    <n v="1"/>
    <x v="1"/>
    <x v="24"/>
    <n v="23"/>
    <n v="0"/>
    <n v="23"/>
    <n v="12.4"/>
    <s v="Yes"/>
    <x v="3"/>
  </r>
  <r>
    <s v="superblock"/>
    <n v="1"/>
    <x v="1"/>
    <x v="1"/>
    <n v="24"/>
    <n v="24"/>
    <n v="0"/>
    <n v="0"/>
    <s v="No"/>
    <x v="3"/>
  </r>
  <r>
    <s v="superblock"/>
    <n v="1"/>
    <x v="1"/>
    <x v="1"/>
    <n v="24"/>
    <n v="20"/>
    <n v="4"/>
    <n v="0"/>
    <s v="No"/>
    <x v="3"/>
  </r>
  <r>
    <s v="superblock"/>
    <n v="1"/>
    <x v="1"/>
    <x v="1"/>
    <n v="24"/>
    <n v="0"/>
    <n v="24"/>
    <n v="1.1000000000000001"/>
    <s v="Yes"/>
    <x v="3"/>
  </r>
  <r>
    <s v="superblock"/>
    <n v="2"/>
    <x v="0"/>
    <x v="2"/>
    <n v="24"/>
    <n v="24"/>
    <n v="0"/>
    <n v="0"/>
    <s v="No"/>
    <x v="3"/>
  </r>
  <r>
    <s v="superblock"/>
    <n v="2"/>
    <x v="0"/>
    <x v="2"/>
    <n v="24"/>
    <n v="22"/>
    <n v="2"/>
    <n v="0"/>
    <s v="No"/>
    <x v="3"/>
  </r>
  <r>
    <s v="superblock"/>
    <n v="2"/>
    <x v="1"/>
    <x v="3"/>
    <n v="24"/>
    <n v="0"/>
    <n v="24"/>
    <n v="12"/>
    <s v="Yes"/>
    <x v="3"/>
  </r>
  <r>
    <s v="superblock"/>
    <n v="2"/>
    <x v="1"/>
    <x v="3"/>
    <n v="24"/>
    <n v="0"/>
    <n v="24"/>
    <n v="12"/>
    <s v="Yes"/>
    <x v="3"/>
  </r>
  <r>
    <s v="superblock"/>
    <n v="3"/>
    <x v="1"/>
    <x v="5"/>
    <n v="24"/>
    <n v="0"/>
    <n v="24"/>
    <n v="7.1"/>
    <s v="Yes"/>
    <x v="3"/>
  </r>
  <r>
    <s v="superblock"/>
    <n v="3"/>
    <x v="1"/>
    <x v="5"/>
    <n v="24"/>
    <n v="0"/>
    <n v="24"/>
    <n v="4.4000000000000004"/>
    <s v="Yes"/>
    <x v="3"/>
  </r>
  <r>
    <s v="falls"/>
    <n v="3"/>
    <x v="0"/>
    <x v="14"/>
    <n v="24"/>
    <n v="14"/>
    <n v="10"/>
    <n v="0"/>
    <s v="No"/>
    <x v="3"/>
  </r>
  <r>
    <s v="quail"/>
    <n v="4"/>
    <x v="0"/>
    <x v="20"/>
    <n v="24"/>
    <n v="0"/>
    <n v="24"/>
    <n v="14"/>
    <s v="Yes"/>
    <x v="3"/>
  </r>
  <r>
    <s v="alps"/>
    <n v="6"/>
    <x v="1"/>
    <x v="26"/>
    <n v="24"/>
    <n v="0"/>
    <n v="24"/>
    <n v="11.4"/>
    <s v="Yes"/>
    <x v="3"/>
  </r>
  <r>
    <s v="cockatoo"/>
    <n v="11"/>
    <x v="0"/>
    <x v="30"/>
    <n v="24"/>
    <n v="0"/>
    <n v="24"/>
    <n v="12.7"/>
    <s v="Yes"/>
    <x v="3"/>
  </r>
  <r>
    <s v="cockatoo"/>
    <n v="11"/>
    <x v="1"/>
    <x v="31"/>
    <n v="24"/>
    <n v="24"/>
    <n v="0"/>
    <n v="0"/>
    <s v="No"/>
    <x v="3"/>
  </r>
  <r>
    <s v="cockatoo"/>
    <n v="11"/>
    <x v="1"/>
    <x v="31"/>
    <n v="24"/>
    <n v="0"/>
    <n v="24"/>
    <n v="16.100000000000001"/>
    <s v="Yes"/>
    <x v="3"/>
  </r>
  <r>
    <s v="superblock"/>
    <n v="3"/>
    <x v="1"/>
    <x v="5"/>
    <n v="25"/>
    <n v="0"/>
    <n v="25"/>
    <n v="7.8"/>
    <s v="Yes"/>
    <x v="3"/>
  </r>
  <r>
    <s v="superblock"/>
    <n v="4"/>
    <x v="1"/>
    <x v="7"/>
    <n v="25"/>
    <n v="17"/>
    <n v="8"/>
    <n v="0"/>
    <s v="No"/>
    <x v="3"/>
  </r>
  <r>
    <s v="falls"/>
    <n v="1"/>
    <x v="1"/>
    <x v="9"/>
    <n v="25"/>
    <n v="0"/>
    <n v="25"/>
    <n v="7.7"/>
    <s v="Yes"/>
    <x v="3"/>
  </r>
  <r>
    <s v="falls"/>
    <n v="2"/>
    <x v="0"/>
    <x v="10"/>
    <n v="25"/>
    <n v="0"/>
    <n v="25"/>
    <n v="9.5"/>
    <s v="Yes"/>
    <x v="3"/>
  </r>
  <r>
    <s v="falls"/>
    <n v="2"/>
    <x v="0"/>
    <x v="10"/>
    <n v="25"/>
    <n v="4"/>
    <n v="21"/>
    <n v="6"/>
    <s v="Yes"/>
    <x v="3"/>
  </r>
  <r>
    <s v="falls"/>
    <n v="3"/>
    <x v="0"/>
    <x v="14"/>
    <n v="25"/>
    <n v="0"/>
    <n v="25"/>
    <n v="4"/>
    <s v="Yes"/>
    <x v="3"/>
  </r>
  <r>
    <s v="falls"/>
    <n v="4"/>
    <x v="0"/>
    <x v="16"/>
    <n v="25"/>
    <n v="0"/>
    <n v="25"/>
    <n v="11.5"/>
    <s v="Yes"/>
    <x v="3"/>
  </r>
  <r>
    <s v="alps"/>
    <n v="5"/>
    <x v="1"/>
    <x v="23"/>
    <n v="25"/>
    <n v="0"/>
    <n v="25"/>
    <n v="0.5"/>
    <s v="No"/>
    <x v="3"/>
  </r>
  <r>
    <s v="alps"/>
    <n v="6"/>
    <x v="1"/>
    <x v="26"/>
    <n v="25"/>
    <n v="0"/>
    <n v="25"/>
    <n v="7"/>
    <s v="Yes"/>
    <x v="3"/>
  </r>
  <r>
    <s v="cockatoo"/>
    <n v="11"/>
    <x v="0"/>
    <x v="30"/>
    <n v="25"/>
    <n v="18"/>
    <n v="7"/>
    <n v="0"/>
    <s v="No"/>
    <x v="3"/>
  </r>
  <r>
    <s v="cockatoo"/>
    <n v="11"/>
    <x v="1"/>
    <x v="31"/>
    <n v="25"/>
    <n v="0"/>
    <n v="25"/>
    <n v="15.4"/>
    <s v="Yes"/>
    <x v="3"/>
  </r>
  <r>
    <s v="cockatoo"/>
    <n v="11"/>
    <x v="1"/>
    <x v="31"/>
    <n v="25"/>
    <n v="0"/>
    <n v="25"/>
    <n v="11.7"/>
    <s v="Yes"/>
    <x v="3"/>
  </r>
  <r>
    <s v="cockatoo"/>
    <n v="11"/>
    <x v="1"/>
    <x v="31"/>
    <n v="25"/>
    <n v="0"/>
    <n v="25"/>
    <n v="12.5"/>
    <s v="Yes"/>
    <x v="3"/>
  </r>
  <r>
    <s v="superblock"/>
    <n v="1"/>
    <x v="1"/>
    <x v="1"/>
    <n v="26"/>
    <n v="0"/>
    <n v="26"/>
    <n v="0.5"/>
    <s v="No"/>
    <x v="3"/>
  </r>
  <r>
    <s v="superblock"/>
    <n v="1"/>
    <x v="1"/>
    <x v="1"/>
    <n v="26"/>
    <n v="0"/>
    <n v="26"/>
    <n v="4.5999999999999996"/>
    <s v="Yes"/>
    <x v="3"/>
  </r>
  <r>
    <s v="superblock"/>
    <n v="1"/>
    <x v="1"/>
    <x v="1"/>
    <n v="26"/>
    <n v="0"/>
    <n v="26"/>
    <n v="6.6"/>
    <s v="Yes"/>
    <x v="3"/>
  </r>
  <r>
    <s v="superblock"/>
    <n v="3"/>
    <x v="0"/>
    <x v="4"/>
    <n v="26"/>
    <n v="21"/>
    <n v="5"/>
    <n v="0"/>
    <s v="No"/>
    <x v="3"/>
  </r>
  <r>
    <s v="superblock"/>
    <n v="3"/>
    <x v="0"/>
    <x v="4"/>
    <n v="26"/>
    <n v="0"/>
    <n v="26"/>
    <n v="4.7"/>
    <s v="Yes"/>
    <x v="3"/>
  </r>
  <r>
    <s v="superblock"/>
    <n v="4"/>
    <x v="0"/>
    <x v="6"/>
    <n v="26"/>
    <n v="0"/>
    <n v="26"/>
    <n v="8.6999999999999993"/>
    <s v="Yes"/>
    <x v="3"/>
  </r>
  <r>
    <s v="superblock"/>
    <n v="4"/>
    <x v="0"/>
    <x v="6"/>
    <n v="26"/>
    <n v="0"/>
    <n v="26"/>
    <n v="5.9"/>
    <s v="Yes"/>
    <x v="3"/>
  </r>
  <r>
    <s v="superblock"/>
    <n v="4"/>
    <x v="0"/>
    <x v="6"/>
    <n v="26"/>
    <n v="0"/>
    <n v="26"/>
    <n v="8.3000000000000007"/>
    <s v="Yes"/>
    <x v="3"/>
  </r>
  <r>
    <s v="falls"/>
    <n v="3"/>
    <x v="0"/>
    <x v="14"/>
    <n v="26"/>
    <n v="0"/>
    <n v="26"/>
    <n v="8.4"/>
    <s v="Yes"/>
    <x v="3"/>
  </r>
  <r>
    <s v="falls"/>
    <n v="4"/>
    <x v="1"/>
    <x v="17"/>
    <n v="26"/>
    <n v="0"/>
    <n v="26"/>
    <n v="9.4"/>
    <s v="Yes"/>
    <x v="3"/>
  </r>
  <r>
    <s v="quail"/>
    <n v="1"/>
    <x v="0"/>
    <x v="18"/>
    <n v="26"/>
    <n v="20"/>
    <n v="6"/>
    <n v="0"/>
    <s v="No"/>
    <x v="3"/>
  </r>
  <r>
    <s v="quail"/>
    <n v="4"/>
    <x v="1"/>
    <x v="21"/>
    <n v="26"/>
    <n v="0"/>
    <n v="26"/>
    <n v="2.6"/>
    <s v="Yes"/>
    <x v="3"/>
  </r>
  <r>
    <s v="alps"/>
    <n v="5"/>
    <x v="1"/>
    <x v="23"/>
    <n v="26"/>
    <n v="0"/>
    <n v="26"/>
    <n v="2.7"/>
    <s v="Yes"/>
    <x v="3"/>
  </r>
  <r>
    <s v="alps"/>
    <n v="1"/>
    <x v="1"/>
    <x v="24"/>
    <n v="26"/>
    <n v="0"/>
    <n v="26"/>
    <n v="6"/>
    <s v="Yes"/>
    <x v="3"/>
  </r>
  <r>
    <s v="alps"/>
    <n v="1"/>
    <x v="1"/>
    <x v="24"/>
    <n v="26"/>
    <n v="0"/>
    <n v="26"/>
    <n v="9.5"/>
    <s v="Yes"/>
    <x v="3"/>
  </r>
  <r>
    <s v="alps"/>
    <n v="6"/>
    <x v="1"/>
    <x v="26"/>
    <n v="26"/>
    <n v="0"/>
    <n v="26"/>
    <n v="8.9"/>
    <s v="Yes"/>
    <x v="3"/>
  </r>
  <r>
    <s v="cockatoo"/>
    <n v="8"/>
    <x v="1"/>
    <x v="27"/>
    <n v="26"/>
    <n v="0"/>
    <n v="26"/>
    <n v="10"/>
    <s v="Yes"/>
    <x v="3"/>
  </r>
  <r>
    <s v="superblock"/>
    <n v="2"/>
    <x v="0"/>
    <x v="2"/>
    <n v="27"/>
    <n v="0"/>
    <n v="27"/>
    <n v="20.8"/>
    <s v="Yes"/>
    <x v="3"/>
  </r>
  <r>
    <s v="superblock"/>
    <n v="2"/>
    <x v="1"/>
    <x v="3"/>
    <n v="27"/>
    <n v="0"/>
    <n v="27"/>
    <n v="10.8"/>
    <s v="Yes"/>
    <x v="3"/>
  </r>
  <r>
    <s v="superblock"/>
    <n v="3"/>
    <x v="0"/>
    <x v="4"/>
    <n v="27"/>
    <n v="0"/>
    <n v="27"/>
    <n v="7.6"/>
    <s v="Yes"/>
    <x v="3"/>
  </r>
  <r>
    <s v="superblock"/>
    <n v="3"/>
    <x v="0"/>
    <x v="4"/>
    <n v="27"/>
    <n v="0"/>
    <n v="27"/>
    <n v="4"/>
    <s v="Yes"/>
    <x v="3"/>
  </r>
  <r>
    <s v="superblock"/>
    <n v="3"/>
    <x v="1"/>
    <x v="5"/>
    <n v="27"/>
    <n v="0"/>
    <n v="27"/>
    <n v="4"/>
    <s v="Yes"/>
    <x v="3"/>
  </r>
  <r>
    <s v="superblock"/>
    <n v="4"/>
    <x v="1"/>
    <x v="7"/>
    <n v="27"/>
    <n v="0"/>
    <n v="27"/>
    <n v="6.4"/>
    <s v="Yes"/>
    <x v="3"/>
  </r>
  <r>
    <s v="falls"/>
    <n v="1"/>
    <x v="1"/>
    <x v="9"/>
    <n v="27"/>
    <n v="0"/>
    <n v="27"/>
    <n v="8.8000000000000007"/>
    <s v="Yes"/>
    <x v="3"/>
  </r>
  <r>
    <s v="falls"/>
    <n v="1"/>
    <x v="1"/>
    <x v="9"/>
    <n v="27"/>
    <n v="0"/>
    <n v="27"/>
    <n v="4.2"/>
    <s v="Yes"/>
    <x v="3"/>
  </r>
  <r>
    <s v="falls"/>
    <n v="5"/>
    <x v="0"/>
    <x v="12"/>
    <n v="27"/>
    <n v="0"/>
    <n v="27"/>
    <n v="3"/>
    <s v="Yes"/>
    <x v="3"/>
  </r>
  <r>
    <s v="falls"/>
    <n v="5"/>
    <x v="1"/>
    <x v="13"/>
    <n v="27"/>
    <n v="0"/>
    <n v="27"/>
    <n v="17"/>
    <s v="Yes"/>
    <x v="3"/>
  </r>
  <r>
    <s v="alps"/>
    <n v="5"/>
    <x v="1"/>
    <x v="23"/>
    <n v="27"/>
    <n v="23"/>
    <n v="4"/>
    <n v="0"/>
    <s v="No"/>
    <x v="3"/>
  </r>
  <r>
    <s v="alps"/>
    <n v="5"/>
    <x v="1"/>
    <x v="23"/>
    <n v="27"/>
    <n v="0"/>
    <n v="27"/>
    <n v="1.8"/>
    <s v="Yes"/>
    <x v="3"/>
  </r>
  <r>
    <s v="alps"/>
    <n v="5"/>
    <x v="1"/>
    <x v="23"/>
    <n v="27"/>
    <n v="0"/>
    <n v="27"/>
    <n v="0.5"/>
    <s v="No"/>
    <x v="3"/>
  </r>
  <r>
    <s v="alps"/>
    <n v="6"/>
    <x v="1"/>
    <x v="26"/>
    <n v="27"/>
    <n v="0"/>
    <n v="27"/>
    <n v="11.3"/>
    <s v="Yes"/>
    <x v="3"/>
  </r>
  <r>
    <s v="cockatoo"/>
    <n v="10"/>
    <x v="1"/>
    <x v="29"/>
    <n v="27"/>
    <n v="0"/>
    <n v="27"/>
    <n v="5.8"/>
    <s v="Yes"/>
    <x v="3"/>
  </r>
  <r>
    <s v="cockatoo"/>
    <n v="11"/>
    <x v="0"/>
    <x v="30"/>
    <n v="27"/>
    <n v="0"/>
    <n v="27"/>
    <n v="5.4"/>
    <s v="Yes"/>
    <x v="3"/>
  </r>
  <r>
    <s v="superblock"/>
    <n v="1"/>
    <x v="1"/>
    <x v="1"/>
    <n v="28"/>
    <n v="0"/>
    <n v="28"/>
    <n v="2.6"/>
    <s v="Yes"/>
    <x v="3"/>
  </r>
  <r>
    <s v="superblock"/>
    <n v="2"/>
    <x v="0"/>
    <x v="2"/>
    <n v="28"/>
    <n v="0"/>
    <n v="28"/>
    <n v="1.2"/>
    <s v="Yes"/>
    <x v="3"/>
  </r>
  <r>
    <s v="superblock"/>
    <n v="2"/>
    <x v="1"/>
    <x v="3"/>
    <n v="28"/>
    <n v="0"/>
    <n v="28"/>
    <n v="6.5"/>
    <s v="Yes"/>
    <x v="3"/>
  </r>
  <r>
    <s v="superblock"/>
    <n v="4"/>
    <x v="1"/>
    <x v="7"/>
    <n v="28"/>
    <n v="0"/>
    <n v="28"/>
    <n v="0.4"/>
    <s v="No"/>
    <x v="3"/>
  </r>
  <r>
    <s v="falls"/>
    <n v="1"/>
    <x v="1"/>
    <x v="9"/>
    <n v="28"/>
    <n v="0"/>
    <n v="28"/>
    <n v="5.9"/>
    <s v="Yes"/>
    <x v="3"/>
  </r>
  <r>
    <s v="falls"/>
    <n v="3"/>
    <x v="1"/>
    <x v="15"/>
    <n v="28"/>
    <n v="0"/>
    <n v="28"/>
    <n v="4.4000000000000004"/>
    <s v="Yes"/>
    <x v="3"/>
  </r>
  <r>
    <s v="falls"/>
    <n v="4"/>
    <x v="1"/>
    <x v="17"/>
    <n v="28"/>
    <n v="20"/>
    <n v="8"/>
    <n v="0"/>
    <s v="No"/>
    <x v="3"/>
  </r>
  <r>
    <s v="quail"/>
    <n v="1"/>
    <x v="0"/>
    <x v="18"/>
    <n v="28"/>
    <n v="0"/>
    <n v="28"/>
    <n v="6.5"/>
    <s v="Yes"/>
    <x v="3"/>
  </r>
  <r>
    <s v="quail"/>
    <n v="1"/>
    <x v="0"/>
    <x v="18"/>
    <n v="28"/>
    <n v="0"/>
    <n v="28"/>
    <n v="16.899999999999999"/>
    <s v="Yes"/>
    <x v="3"/>
  </r>
  <r>
    <s v="quail"/>
    <n v="4"/>
    <x v="1"/>
    <x v="21"/>
    <n v="28"/>
    <n v="0"/>
    <n v="28"/>
    <n v="5.3"/>
    <s v="Yes"/>
    <x v="3"/>
  </r>
  <r>
    <s v="alps"/>
    <n v="5"/>
    <x v="0"/>
    <x v="22"/>
    <n v="28"/>
    <n v="0"/>
    <n v="28"/>
    <n v="0.7"/>
    <s v="No"/>
    <x v="3"/>
  </r>
  <r>
    <s v="alps"/>
    <n v="6"/>
    <x v="1"/>
    <x v="26"/>
    <n v="28"/>
    <n v="0"/>
    <n v="28"/>
    <n v="1.6"/>
    <s v="Yes"/>
    <x v="3"/>
  </r>
  <r>
    <s v="cockatoo"/>
    <n v="10"/>
    <x v="1"/>
    <x v="29"/>
    <n v="28"/>
    <n v="0"/>
    <n v="28"/>
    <n v="7.2"/>
    <s v="Yes"/>
    <x v="3"/>
  </r>
  <r>
    <s v="superblock"/>
    <n v="1"/>
    <x v="1"/>
    <x v="1"/>
    <n v="29"/>
    <n v="0"/>
    <n v="29"/>
    <n v="8.8000000000000007"/>
    <s v="Yes"/>
    <x v="3"/>
  </r>
  <r>
    <s v="superblock"/>
    <n v="4"/>
    <x v="0"/>
    <x v="6"/>
    <n v="29"/>
    <n v="0"/>
    <n v="29"/>
    <n v="4.5999999999999996"/>
    <s v="Yes"/>
    <x v="3"/>
  </r>
  <r>
    <s v="cockatoo"/>
    <n v="11"/>
    <x v="0"/>
    <x v="30"/>
    <n v="29"/>
    <n v="0"/>
    <n v="29"/>
    <n v="1.6"/>
    <s v="Yes"/>
    <x v="3"/>
  </r>
  <r>
    <s v="superblock"/>
    <n v="1"/>
    <x v="1"/>
    <x v="1"/>
    <n v="30"/>
    <n v="0"/>
    <n v="30"/>
    <n v="2.5"/>
    <s v="Yes"/>
    <x v="3"/>
  </r>
  <r>
    <s v="superblock"/>
    <n v="3"/>
    <x v="0"/>
    <x v="4"/>
    <n v="30"/>
    <n v="0"/>
    <n v="30"/>
    <n v="12.6"/>
    <s v="Yes"/>
    <x v="3"/>
  </r>
  <r>
    <s v="superblock"/>
    <n v="3"/>
    <x v="1"/>
    <x v="5"/>
    <n v="30"/>
    <n v="0"/>
    <n v="30"/>
    <n v="3.4"/>
    <s v="Yes"/>
    <x v="3"/>
  </r>
  <r>
    <s v="superblock"/>
    <n v="3"/>
    <x v="1"/>
    <x v="5"/>
    <n v="30"/>
    <n v="0"/>
    <n v="30"/>
    <n v="11.4"/>
    <s v="Yes"/>
    <x v="3"/>
  </r>
  <r>
    <s v="falls"/>
    <n v="1"/>
    <x v="1"/>
    <x v="9"/>
    <n v="30"/>
    <n v="0"/>
    <n v="30"/>
    <n v="6"/>
    <s v="Yes"/>
    <x v="3"/>
  </r>
  <r>
    <s v="quail"/>
    <n v="4"/>
    <x v="1"/>
    <x v="21"/>
    <n v="30"/>
    <n v="0"/>
    <n v="30"/>
    <n v="0.3"/>
    <s v="No"/>
    <x v="3"/>
  </r>
  <r>
    <s v="alps"/>
    <n v="5"/>
    <x v="1"/>
    <x v="23"/>
    <n v="30"/>
    <n v="12"/>
    <n v="18"/>
    <n v="0"/>
    <s v="No"/>
    <x v="3"/>
  </r>
  <r>
    <s v="alps"/>
    <n v="5"/>
    <x v="1"/>
    <x v="23"/>
    <n v="30"/>
    <n v="0"/>
    <n v="30"/>
    <n v="3.4"/>
    <s v="Yes"/>
    <x v="3"/>
  </r>
  <r>
    <s v="alps"/>
    <n v="1"/>
    <x v="1"/>
    <x v="24"/>
    <n v="30"/>
    <n v="0"/>
    <n v="30"/>
    <n v="12.4"/>
    <s v="Yes"/>
    <x v="3"/>
  </r>
  <r>
    <s v="cockatoo"/>
    <n v="11"/>
    <x v="1"/>
    <x v="31"/>
    <n v="30"/>
    <n v="0"/>
    <n v="30"/>
    <n v="13"/>
    <s v="Yes"/>
    <x v="3"/>
  </r>
  <r>
    <s v="superblock"/>
    <n v="1"/>
    <x v="1"/>
    <x v="1"/>
    <n v="31"/>
    <n v="0"/>
    <n v="31"/>
    <n v="6.3"/>
    <s v="Yes"/>
    <x v="4"/>
  </r>
  <r>
    <s v="superblock"/>
    <n v="1"/>
    <x v="1"/>
    <x v="1"/>
    <n v="31"/>
    <n v="0"/>
    <n v="31"/>
    <n v="6"/>
    <s v="Yes"/>
    <x v="4"/>
  </r>
  <r>
    <s v="superblock"/>
    <n v="2"/>
    <x v="0"/>
    <x v="2"/>
    <n v="31"/>
    <n v="0"/>
    <n v="31"/>
    <n v="9.3000000000000007"/>
    <s v="Yes"/>
    <x v="4"/>
  </r>
  <r>
    <s v="superblock"/>
    <n v="2"/>
    <x v="1"/>
    <x v="3"/>
    <n v="31"/>
    <n v="0"/>
    <n v="31"/>
    <n v="10.6"/>
    <s v="Yes"/>
    <x v="4"/>
  </r>
  <r>
    <s v="superblock"/>
    <n v="3"/>
    <x v="0"/>
    <x v="4"/>
    <n v="31"/>
    <n v="0"/>
    <n v="31"/>
    <n v="9.1"/>
    <s v="Yes"/>
    <x v="4"/>
  </r>
  <r>
    <s v="falls"/>
    <n v="2"/>
    <x v="1"/>
    <x v="11"/>
    <n v="31"/>
    <n v="0"/>
    <n v="31"/>
    <n v="9.6"/>
    <s v="Yes"/>
    <x v="4"/>
  </r>
  <r>
    <s v="alps"/>
    <n v="5"/>
    <x v="1"/>
    <x v="23"/>
    <n v="31"/>
    <n v="0"/>
    <n v="31"/>
    <n v="2.1"/>
    <s v="Yes"/>
    <x v="4"/>
  </r>
  <r>
    <s v="alps"/>
    <n v="1"/>
    <x v="1"/>
    <x v="24"/>
    <n v="31"/>
    <n v="0"/>
    <n v="31"/>
    <n v="0.6"/>
    <s v="No"/>
    <x v="4"/>
  </r>
  <r>
    <s v="alps"/>
    <n v="6"/>
    <x v="1"/>
    <x v="26"/>
    <n v="31"/>
    <n v="0"/>
    <n v="31"/>
    <n v="18.2"/>
    <s v="Yes"/>
    <x v="4"/>
  </r>
  <r>
    <s v="superblock"/>
    <n v="1"/>
    <x v="1"/>
    <x v="1"/>
    <n v="32"/>
    <n v="0"/>
    <n v="32"/>
    <n v="13.3"/>
    <s v="Yes"/>
    <x v="4"/>
  </r>
  <r>
    <s v="superblock"/>
    <n v="3"/>
    <x v="0"/>
    <x v="4"/>
    <n v="32"/>
    <n v="0"/>
    <n v="32"/>
    <n v="14.4"/>
    <s v="Yes"/>
    <x v="4"/>
  </r>
  <r>
    <s v="superblock"/>
    <n v="3"/>
    <x v="1"/>
    <x v="5"/>
    <n v="32"/>
    <n v="0"/>
    <n v="32"/>
    <n v="10.6"/>
    <s v="Yes"/>
    <x v="4"/>
  </r>
  <r>
    <s v="superblock"/>
    <n v="4"/>
    <x v="0"/>
    <x v="6"/>
    <n v="32"/>
    <n v="0"/>
    <n v="32"/>
    <n v="9.4"/>
    <s v="Yes"/>
    <x v="4"/>
  </r>
  <r>
    <s v="superblock"/>
    <n v="4"/>
    <x v="0"/>
    <x v="6"/>
    <n v="32"/>
    <n v="0"/>
    <n v="32"/>
    <n v="13.2"/>
    <s v="Yes"/>
    <x v="4"/>
  </r>
  <r>
    <s v="falls"/>
    <n v="2"/>
    <x v="0"/>
    <x v="10"/>
    <n v="32"/>
    <n v="0"/>
    <n v="32"/>
    <n v="11.3"/>
    <s v="Yes"/>
    <x v="4"/>
  </r>
  <r>
    <s v="falls"/>
    <n v="2"/>
    <x v="1"/>
    <x v="11"/>
    <n v="32"/>
    <n v="24"/>
    <n v="8"/>
    <n v="0"/>
    <s v="No"/>
    <x v="4"/>
  </r>
  <r>
    <s v="quail"/>
    <n v="4"/>
    <x v="0"/>
    <x v="20"/>
    <n v="32"/>
    <n v="0"/>
    <n v="32"/>
    <n v="13.4"/>
    <s v="Yes"/>
    <x v="4"/>
  </r>
  <r>
    <s v="quail"/>
    <n v="4"/>
    <x v="1"/>
    <x v="21"/>
    <n v="32"/>
    <n v="0"/>
    <n v="32"/>
    <n v="10.7"/>
    <s v="Yes"/>
    <x v="4"/>
  </r>
  <r>
    <s v="superblock"/>
    <n v="1"/>
    <x v="0"/>
    <x v="0"/>
    <n v="33"/>
    <n v="0"/>
    <n v="33"/>
    <n v="8.4"/>
    <s v="Yes"/>
    <x v="4"/>
  </r>
  <r>
    <s v="superblock"/>
    <n v="1"/>
    <x v="1"/>
    <x v="1"/>
    <n v="33"/>
    <n v="0"/>
    <n v="33"/>
    <n v="5.7"/>
    <s v="Yes"/>
    <x v="4"/>
  </r>
  <r>
    <s v="superblock"/>
    <n v="2"/>
    <x v="1"/>
    <x v="3"/>
    <n v="33"/>
    <n v="0"/>
    <n v="33"/>
    <n v="2"/>
    <s v="Yes"/>
    <x v="4"/>
  </r>
  <r>
    <s v="superblock"/>
    <n v="2"/>
    <x v="1"/>
    <x v="3"/>
    <n v="33"/>
    <n v="33"/>
    <n v="0"/>
    <n v="0"/>
    <s v="No"/>
    <x v="4"/>
  </r>
  <r>
    <s v="superblock"/>
    <n v="2"/>
    <x v="1"/>
    <x v="3"/>
    <n v="33"/>
    <n v="0"/>
    <n v="33"/>
    <n v="2.7"/>
    <s v="Yes"/>
    <x v="4"/>
  </r>
  <r>
    <s v="superblock"/>
    <n v="2"/>
    <x v="1"/>
    <x v="3"/>
    <n v="33"/>
    <n v="0"/>
    <n v="33"/>
    <n v="8.1999999999999993"/>
    <s v="Yes"/>
    <x v="4"/>
  </r>
  <r>
    <s v="superblock"/>
    <n v="3"/>
    <x v="0"/>
    <x v="4"/>
    <n v="33"/>
    <n v="0"/>
    <n v="33"/>
    <n v="6.4"/>
    <s v="Yes"/>
    <x v="4"/>
  </r>
  <r>
    <s v="superblock"/>
    <n v="3"/>
    <x v="0"/>
    <x v="4"/>
    <n v="33"/>
    <n v="0"/>
    <n v="33"/>
    <n v="16.8"/>
    <s v="Yes"/>
    <x v="4"/>
  </r>
  <r>
    <s v="superblock"/>
    <n v="3"/>
    <x v="0"/>
    <x v="4"/>
    <n v="33"/>
    <n v="0"/>
    <n v="33"/>
    <n v="16.3"/>
    <s v="Yes"/>
    <x v="4"/>
  </r>
  <r>
    <s v="superblock"/>
    <n v="3"/>
    <x v="1"/>
    <x v="5"/>
    <n v="33"/>
    <n v="0"/>
    <n v="33"/>
    <n v="15.4"/>
    <s v="Yes"/>
    <x v="4"/>
  </r>
  <r>
    <s v="superblock"/>
    <n v="4"/>
    <x v="0"/>
    <x v="6"/>
    <n v="33"/>
    <n v="0"/>
    <n v="33"/>
    <n v="8"/>
    <s v="Yes"/>
    <x v="4"/>
  </r>
  <r>
    <s v="falls"/>
    <n v="1"/>
    <x v="0"/>
    <x v="8"/>
    <n v="33"/>
    <n v="0"/>
    <n v="33"/>
    <n v="8.3000000000000007"/>
    <s v="Yes"/>
    <x v="4"/>
  </r>
  <r>
    <s v="falls"/>
    <n v="1"/>
    <x v="1"/>
    <x v="9"/>
    <n v="33"/>
    <n v="0"/>
    <n v="33"/>
    <n v="5.2"/>
    <s v="Yes"/>
    <x v="4"/>
  </r>
  <r>
    <s v="falls"/>
    <n v="5"/>
    <x v="1"/>
    <x v="13"/>
    <n v="33"/>
    <n v="0"/>
    <n v="33"/>
    <n v="12.1"/>
    <s v="Yes"/>
    <x v="4"/>
  </r>
  <r>
    <s v="falls"/>
    <n v="5"/>
    <x v="1"/>
    <x v="13"/>
    <n v="33"/>
    <n v="25"/>
    <n v="8"/>
    <n v="0"/>
    <s v="No"/>
    <x v="4"/>
  </r>
  <r>
    <s v="falls"/>
    <n v="4"/>
    <x v="0"/>
    <x v="16"/>
    <n v="33"/>
    <n v="0"/>
    <n v="33"/>
    <n v="18.899999999999999"/>
    <s v="Yes"/>
    <x v="4"/>
  </r>
  <r>
    <s v="quail"/>
    <n v="4"/>
    <x v="0"/>
    <x v="20"/>
    <n v="33"/>
    <n v="0"/>
    <n v="33"/>
    <n v="0.5"/>
    <s v="No"/>
    <x v="4"/>
  </r>
  <r>
    <s v="alps"/>
    <n v="6"/>
    <x v="0"/>
    <x v="25"/>
    <n v="33"/>
    <n v="0"/>
    <n v="33"/>
    <n v="10.3"/>
    <s v="Yes"/>
    <x v="4"/>
  </r>
  <r>
    <s v="superblock"/>
    <n v="1"/>
    <x v="1"/>
    <x v="1"/>
    <n v="34"/>
    <n v="0"/>
    <n v="34"/>
    <n v="6.2"/>
    <s v="Yes"/>
    <x v="4"/>
  </r>
  <r>
    <s v="superblock"/>
    <n v="1"/>
    <x v="1"/>
    <x v="1"/>
    <n v="34"/>
    <n v="0"/>
    <n v="34"/>
    <n v="10.5"/>
    <s v="Yes"/>
    <x v="4"/>
  </r>
  <r>
    <s v="superblock"/>
    <n v="3"/>
    <x v="1"/>
    <x v="5"/>
    <n v="34"/>
    <n v="0"/>
    <n v="34"/>
    <n v="10.1"/>
    <s v="Yes"/>
    <x v="4"/>
  </r>
  <r>
    <s v="falls"/>
    <n v="2"/>
    <x v="1"/>
    <x v="11"/>
    <n v="34"/>
    <n v="0"/>
    <n v="34"/>
    <n v="10.1"/>
    <s v="Yes"/>
    <x v="4"/>
  </r>
  <r>
    <s v="falls"/>
    <n v="5"/>
    <x v="1"/>
    <x v="13"/>
    <n v="34"/>
    <n v="0"/>
    <n v="34"/>
    <n v="14.7"/>
    <s v="Yes"/>
    <x v="4"/>
  </r>
  <r>
    <s v="alps"/>
    <n v="5"/>
    <x v="1"/>
    <x v="23"/>
    <n v="34"/>
    <n v="0"/>
    <n v="34"/>
    <n v="0.2"/>
    <s v="No"/>
    <x v="4"/>
  </r>
  <r>
    <s v="superblock"/>
    <n v="2"/>
    <x v="0"/>
    <x v="2"/>
    <n v="35"/>
    <n v="0"/>
    <n v="35"/>
    <n v="14.7"/>
    <s v="Yes"/>
    <x v="4"/>
  </r>
  <r>
    <s v="superblock"/>
    <n v="4"/>
    <x v="0"/>
    <x v="6"/>
    <n v="35"/>
    <n v="0"/>
    <n v="35"/>
    <n v="9.1999999999999993"/>
    <s v="Yes"/>
    <x v="4"/>
  </r>
  <r>
    <s v="falls"/>
    <n v="5"/>
    <x v="1"/>
    <x v="13"/>
    <n v="35"/>
    <n v="0"/>
    <n v="35"/>
    <n v="3.5"/>
    <s v="Yes"/>
    <x v="4"/>
  </r>
  <r>
    <s v="quail"/>
    <n v="4"/>
    <x v="1"/>
    <x v="21"/>
    <n v="35"/>
    <n v="0"/>
    <n v="35"/>
    <n v="0.9"/>
    <s v="No"/>
    <x v="4"/>
  </r>
  <r>
    <s v="alps"/>
    <n v="5"/>
    <x v="1"/>
    <x v="23"/>
    <n v="35"/>
    <n v="23"/>
    <n v="12"/>
    <n v="0"/>
    <s v="No"/>
    <x v="4"/>
  </r>
  <r>
    <s v="alps"/>
    <n v="5"/>
    <x v="1"/>
    <x v="23"/>
    <n v="35"/>
    <n v="0"/>
    <n v="35"/>
    <n v="0.8"/>
    <s v="No"/>
    <x v="4"/>
  </r>
  <r>
    <s v="cockatoo"/>
    <n v="8"/>
    <x v="1"/>
    <x v="27"/>
    <n v="35"/>
    <n v="0"/>
    <n v="35"/>
    <n v="3.5"/>
    <s v="Yes"/>
    <x v="4"/>
  </r>
  <r>
    <s v="cockatoo"/>
    <n v="10"/>
    <x v="1"/>
    <x v="29"/>
    <n v="35"/>
    <n v="0"/>
    <n v="35"/>
    <n v="13.4"/>
    <s v="Yes"/>
    <x v="4"/>
  </r>
  <r>
    <s v="cockatoo"/>
    <n v="10"/>
    <x v="1"/>
    <x v="29"/>
    <n v="35"/>
    <n v="0"/>
    <n v="35"/>
    <n v="14.5"/>
    <s v="Yes"/>
    <x v="4"/>
  </r>
  <r>
    <s v="cockatoo"/>
    <n v="10"/>
    <x v="1"/>
    <x v="29"/>
    <n v="35"/>
    <n v="0"/>
    <n v="35"/>
    <n v="15.4"/>
    <s v="Yes"/>
    <x v="4"/>
  </r>
  <r>
    <s v="cockatoo"/>
    <n v="11"/>
    <x v="0"/>
    <x v="30"/>
    <n v="35"/>
    <n v="0"/>
    <n v="35"/>
    <n v="8.1999999999999993"/>
    <s v="Yes"/>
    <x v="4"/>
  </r>
  <r>
    <s v="superblock"/>
    <n v="1"/>
    <x v="0"/>
    <x v="0"/>
    <n v="36"/>
    <n v="0"/>
    <n v="36"/>
    <n v="1.9"/>
    <s v="Yes"/>
    <x v="4"/>
  </r>
  <r>
    <s v="superblock"/>
    <n v="1"/>
    <x v="0"/>
    <x v="0"/>
    <n v="36"/>
    <n v="0"/>
    <n v="36"/>
    <n v="1.3"/>
    <s v="Yes"/>
    <x v="4"/>
  </r>
  <r>
    <s v="superblock"/>
    <n v="1"/>
    <x v="0"/>
    <x v="0"/>
    <n v="36"/>
    <n v="36"/>
    <n v="0"/>
    <n v="0"/>
    <s v="No"/>
    <x v="4"/>
  </r>
  <r>
    <s v="superblock"/>
    <n v="1"/>
    <x v="0"/>
    <x v="0"/>
    <n v="36"/>
    <n v="0"/>
    <n v="36"/>
    <n v="12.8"/>
    <s v="Yes"/>
    <x v="4"/>
  </r>
  <r>
    <s v="superblock"/>
    <n v="1"/>
    <x v="1"/>
    <x v="1"/>
    <n v="36"/>
    <n v="0"/>
    <n v="36"/>
    <n v="1.3"/>
    <s v="Yes"/>
    <x v="4"/>
  </r>
  <r>
    <s v="superblock"/>
    <n v="1"/>
    <x v="1"/>
    <x v="1"/>
    <n v="36"/>
    <n v="23"/>
    <n v="13"/>
    <n v="0"/>
    <s v="No"/>
    <x v="4"/>
  </r>
  <r>
    <s v="superblock"/>
    <n v="4"/>
    <x v="0"/>
    <x v="6"/>
    <n v="36"/>
    <n v="0"/>
    <n v="36"/>
    <n v="12"/>
    <s v="Yes"/>
    <x v="4"/>
  </r>
  <r>
    <s v="falls"/>
    <n v="4"/>
    <x v="1"/>
    <x v="17"/>
    <n v="36"/>
    <n v="0"/>
    <n v="36"/>
    <n v="16.8"/>
    <s v="Yes"/>
    <x v="4"/>
  </r>
  <r>
    <s v="quail"/>
    <n v="4"/>
    <x v="0"/>
    <x v="20"/>
    <n v="36"/>
    <n v="0"/>
    <n v="36"/>
    <n v="8.8000000000000007"/>
    <s v="Yes"/>
    <x v="4"/>
  </r>
  <r>
    <s v="alps"/>
    <n v="5"/>
    <x v="1"/>
    <x v="23"/>
    <n v="36"/>
    <n v="0"/>
    <n v="36"/>
    <n v="1.4"/>
    <s v="Yes"/>
    <x v="4"/>
  </r>
  <r>
    <s v="alps"/>
    <n v="5"/>
    <x v="1"/>
    <x v="23"/>
    <n v="36"/>
    <n v="0"/>
    <n v="36"/>
    <n v="2"/>
    <s v="Yes"/>
    <x v="4"/>
  </r>
  <r>
    <s v="alps"/>
    <n v="5"/>
    <x v="1"/>
    <x v="23"/>
    <n v="36"/>
    <n v="0"/>
    <n v="36"/>
    <n v="0.7"/>
    <s v="No"/>
    <x v="4"/>
  </r>
  <r>
    <s v="alps"/>
    <n v="5"/>
    <x v="1"/>
    <x v="23"/>
    <n v="36"/>
    <n v="0"/>
    <n v="36"/>
    <n v="0.4"/>
    <s v="No"/>
    <x v="4"/>
  </r>
  <r>
    <s v="alps"/>
    <n v="6"/>
    <x v="1"/>
    <x v="26"/>
    <n v="36"/>
    <n v="0"/>
    <n v="36"/>
    <n v="13.4"/>
    <s v="Yes"/>
    <x v="4"/>
  </r>
  <r>
    <s v="superblock"/>
    <n v="1"/>
    <x v="1"/>
    <x v="1"/>
    <n v="37"/>
    <n v="0"/>
    <n v="37"/>
    <n v="0.6"/>
    <s v="No"/>
    <x v="4"/>
  </r>
  <r>
    <s v="superblock"/>
    <n v="1"/>
    <x v="1"/>
    <x v="1"/>
    <n v="37"/>
    <n v="0"/>
    <n v="37"/>
    <n v="1.5"/>
    <s v="Yes"/>
    <x v="4"/>
  </r>
  <r>
    <s v="superblock"/>
    <n v="2"/>
    <x v="0"/>
    <x v="2"/>
    <n v="37"/>
    <n v="0"/>
    <n v="37"/>
    <n v="1"/>
    <s v="Yes"/>
    <x v="4"/>
  </r>
  <r>
    <s v="superblock"/>
    <n v="2"/>
    <x v="0"/>
    <x v="2"/>
    <n v="37"/>
    <n v="0"/>
    <n v="37"/>
    <n v="2.1"/>
    <s v="Yes"/>
    <x v="4"/>
  </r>
  <r>
    <s v="superblock"/>
    <n v="2"/>
    <x v="0"/>
    <x v="2"/>
    <n v="37"/>
    <n v="0"/>
    <n v="37"/>
    <n v="9.9"/>
    <s v="Yes"/>
    <x v="4"/>
  </r>
  <r>
    <s v="superblock"/>
    <n v="3"/>
    <x v="1"/>
    <x v="5"/>
    <n v="37"/>
    <n v="0"/>
    <n v="37"/>
    <n v="12.1"/>
    <s v="Yes"/>
    <x v="4"/>
  </r>
  <r>
    <s v="superblock"/>
    <n v="4"/>
    <x v="0"/>
    <x v="6"/>
    <n v="37"/>
    <n v="0"/>
    <n v="37"/>
    <n v="9.8000000000000007"/>
    <s v="Yes"/>
    <x v="4"/>
  </r>
  <r>
    <s v="superblock"/>
    <n v="4"/>
    <x v="0"/>
    <x v="6"/>
    <n v="37"/>
    <n v="0"/>
    <n v="37"/>
    <n v="13.1"/>
    <s v="Yes"/>
    <x v="4"/>
  </r>
  <r>
    <s v="falls"/>
    <n v="3"/>
    <x v="1"/>
    <x v="15"/>
    <n v="37"/>
    <n v="0"/>
    <n v="37"/>
    <n v="16.2"/>
    <s v="Yes"/>
    <x v="4"/>
  </r>
  <r>
    <s v="falls"/>
    <n v="4"/>
    <x v="1"/>
    <x v="17"/>
    <n v="37"/>
    <n v="0"/>
    <n v="37"/>
    <n v="7.1"/>
    <s v="Yes"/>
    <x v="4"/>
  </r>
  <r>
    <s v="quail"/>
    <n v="1"/>
    <x v="0"/>
    <x v="18"/>
    <n v="37"/>
    <n v="0"/>
    <n v="37"/>
    <n v="18.7"/>
    <s v="Yes"/>
    <x v="4"/>
  </r>
  <r>
    <s v="quail"/>
    <n v="1"/>
    <x v="0"/>
    <x v="18"/>
    <n v="37"/>
    <n v="0"/>
    <n v="37"/>
    <n v="3.6"/>
    <s v="Yes"/>
    <x v="4"/>
  </r>
  <r>
    <s v="alps"/>
    <n v="6"/>
    <x v="1"/>
    <x v="26"/>
    <n v="37"/>
    <n v="0"/>
    <n v="37"/>
    <n v="1.7"/>
    <s v="Yes"/>
    <x v="4"/>
  </r>
  <r>
    <s v="superblock"/>
    <n v="1"/>
    <x v="1"/>
    <x v="1"/>
    <n v="38"/>
    <n v="0"/>
    <n v="38"/>
    <n v="7"/>
    <s v="Yes"/>
    <x v="4"/>
  </r>
  <r>
    <s v="superblock"/>
    <n v="3"/>
    <x v="0"/>
    <x v="4"/>
    <n v="38"/>
    <n v="0"/>
    <n v="38"/>
    <n v="5.8"/>
    <s v="Yes"/>
    <x v="4"/>
  </r>
  <r>
    <s v="superblock"/>
    <n v="4"/>
    <x v="0"/>
    <x v="6"/>
    <n v="38"/>
    <n v="0"/>
    <n v="38"/>
    <n v="16.5"/>
    <s v="Yes"/>
    <x v="4"/>
  </r>
  <r>
    <s v="falls"/>
    <n v="2"/>
    <x v="0"/>
    <x v="10"/>
    <n v="38"/>
    <n v="38"/>
    <n v="0"/>
    <n v="0"/>
    <s v="No"/>
    <x v="4"/>
  </r>
  <r>
    <s v="falls"/>
    <n v="5"/>
    <x v="1"/>
    <x v="13"/>
    <n v="38"/>
    <n v="0"/>
    <n v="38"/>
    <n v="6.4"/>
    <s v="Yes"/>
    <x v="4"/>
  </r>
  <r>
    <s v="falls"/>
    <n v="4"/>
    <x v="0"/>
    <x v="16"/>
    <n v="38"/>
    <n v="0"/>
    <n v="38"/>
    <n v="9.1"/>
    <s v="Yes"/>
    <x v="4"/>
  </r>
  <r>
    <s v="alps"/>
    <n v="5"/>
    <x v="0"/>
    <x v="22"/>
    <n v="38"/>
    <n v="0"/>
    <n v="38"/>
    <n v="12.5"/>
    <s v="Yes"/>
    <x v="4"/>
  </r>
  <r>
    <s v="alps"/>
    <n v="5"/>
    <x v="1"/>
    <x v="23"/>
    <n v="38"/>
    <n v="0"/>
    <n v="38"/>
    <n v="1.4"/>
    <s v="Yes"/>
    <x v="4"/>
  </r>
  <r>
    <s v="alps"/>
    <n v="6"/>
    <x v="1"/>
    <x v="26"/>
    <n v="38"/>
    <n v="0"/>
    <n v="38"/>
    <n v="2.4"/>
    <s v="Yes"/>
    <x v="4"/>
  </r>
  <r>
    <s v="superblock"/>
    <n v="1"/>
    <x v="1"/>
    <x v="1"/>
    <n v="39"/>
    <n v="0"/>
    <n v="39"/>
    <n v="1.8"/>
    <s v="Yes"/>
    <x v="4"/>
  </r>
  <r>
    <s v="superblock"/>
    <n v="3"/>
    <x v="0"/>
    <x v="4"/>
    <n v="39"/>
    <n v="0"/>
    <n v="39"/>
    <n v="4.5999999999999996"/>
    <s v="Yes"/>
    <x v="4"/>
  </r>
  <r>
    <s v="falls"/>
    <n v="1"/>
    <x v="1"/>
    <x v="9"/>
    <n v="39"/>
    <n v="0"/>
    <n v="39"/>
    <n v="0"/>
    <s v="No"/>
    <x v="4"/>
  </r>
  <r>
    <s v="quail"/>
    <n v="4"/>
    <x v="0"/>
    <x v="20"/>
    <n v="39"/>
    <n v="0"/>
    <n v="39"/>
    <n v="0.9"/>
    <s v="No"/>
    <x v="4"/>
  </r>
  <r>
    <s v="quail"/>
    <n v="4"/>
    <x v="0"/>
    <x v="20"/>
    <n v="39"/>
    <n v="0"/>
    <n v="39"/>
    <n v="1.3"/>
    <s v="Yes"/>
    <x v="4"/>
  </r>
  <r>
    <s v="alps"/>
    <n v="5"/>
    <x v="1"/>
    <x v="23"/>
    <n v="39"/>
    <n v="0"/>
    <n v="39"/>
    <n v="1.6"/>
    <s v="Yes"/>
    <x v="4"/>
  </r>
  <r>
    <s v="alps"/>
    <n v="6"/>
    <x v="1"/>
    <x v="26"/>
    <n v="39"/>
    <n v="0"/>
    <n v="39"/>
    <n v="5"/>
    <s v="Yes"/>
    <x v="4"/>
  </r>
  <r>
    <s v="superblock"/>
    <n v="2"/>
    <x v="1"/>
    <x v="3"/>
    <n v="40"/>
    <n v="0"/>
    <n v="40"/>
    <n v="9.8000000000000007"/>
    <s v="Yes"/>
    <x v="4"/>
  </r>
  <r>
    <s v="falls"/>
    <n v="5"/>
    <x v="0"/>
    <x v="12"/>
    <n v="40"/>
    <n v="0"/>
    <n v="40"/>
    <n v="5"/>
    <s v="Yes"/>
    <x v="4"/>
  </r>
  <r>
    <s v="falls"/>
    <n v="5"/>
    <x v="0"/>
    <x v="12"/>
    <n v="40"/>
    <n v="0"/>
    <n v="40"/>
    <n v="13.9"/>
    <s v="Yes"/>
    <x v="4"/>
  </r>
  <r>
    <s v="falls"/>
    <n v="4"/>
    <x v="0"/>
    <x v="16"/>
    <n v="40"/>
    <n v="0"/>
    <n v="40"/>
    <n v="14.2"/>
    <s v="Yes"/>
    <x v="4"/>
  </r>
  <r>
    <s v="alps"/>
    <n v="6"/>
    <x v="1"/>
    <x v="26"/>
    <n v="40"/>
    <n v="0"/>
    <n v="40"/>
    <n v="0.8"/>
    <s v="No"/>
    <x v="4"/>
  </r>
  <r>
    <s v="superblock"/>
    <n v="1"/>
    <x v="1"/>
    <x v="1"/>
    <n v="41"/>
    <n v="0"/>
    <n v="41"/>
    <n v="4.3"/>
    <s v="Yes"/>
    <x v="5"/>
  </r>
  <r>
    <s v="superblock"/>
    <n v="2"/>
    <x v="0"/>
    <x v="2"/>
    <n v="41"/>
    <n v="0"/>
    <n v="41"/>
    <n v="6.9"/>
    <s v="Yes"/>
    <x v="5"/>
  </r>
  <r>
    <s v="superblock"/>
    <n v="3"/>
    <x v="0"/>
    <x v="4"/>
    <n v="41"/>
    <n v="0"/>
    <n v="41"/>
    <n v="11"/>
    <s v="Yes"/>
    <x v="5"/>
  </r>
  <r>
    <s v="superblock"/>
    <n v="4"/>
    <x v="1"/>
    <x v="7"/>
    <n v="41"/>
    <n v="0"/>
    <n v="41"/>
    <n v="1.9"/>
    <s v="Yes"/>
    <x v="5"/>
  </r>
  <r>
    <s v="falls"/>
    <n v="2"/>
    <x v="0"/>
    <x v="10"/>
    <n v="41"/>
    <n v="0"/>
    <n v="41"/>
    <n v="14.3"/>
    <s v="Yes"/>
    <x v="5"/>
  </r>
  <r>
    <s v="falls"/>
    <n v="4"/>
    <x v="0"/>
    <x v="16"/>
    <n v="41"/>
    <n v="0"/>
    <n v="41"/>
    <n v="12"/>
    <s v="Yes"/>
    <x v="5"/>
  </r>
  <r>
    <s v="quail"/>
    <n v="4"/>
    <x v="1"/>
    <x v="21"/>
    <n v="41"/>
    <n v="0"/>
    <n v="41"/>
    <n v="1.2"/>
    <s v="Yes"/>
    <x v="5"/>
  </r>
  <r>
    <s v="alps"/>
    <n v="5"/>
    <x v="0"/>
    <x v="22"/>
    <n v="41"/>
    <n v="0"/>
    <n v="41"/>
    <n v="8.1"/>
    <s v="Yes"/>
    <x v="5"/>
  </r>
  <r>
    <s v="alps"/>
    <n v="5"/>
    <x v="1"/>
    <x v="23"/>
    <n v="41"/>
    <n v="0"/>
    <n v="41"/>
    <n v="0.7"/>
    <s v="No"/>
    <x v="5"/>
  </r>
  <r>
    <s v="superblock"/>
    <n v="1"/>
    <x v="0"/>
    <x v="0"/>
    <n v="42"/>
    <n v="0"/>
    <n v="42"/>
    <n v="9"/>
    <s v="Yes"/>
    <x v="5"/>
  </r>
  <r>
    <s v="superblock"/>
    <n v="1"/>
    <x v="1"/>
    <x v="1"/>
    <n v="42"/>
    <n v="0"/>
    <n v="42"/>
    <n v="2.4"/>
    <s v="Yes"/>
    <x v="5"/>
  </r>
  <r>
    <s v="superblock"/>
    <n v="1"/>
    <x v="1"/>
    <x v="1"/>
    <n v="42"/>
    <n v="0"/>
    <n v="42"/>
    <n v="0.8"/>
    <s v="No"/>
    <x v="5"/>
  </r>
  <r>
    <s v="superblock"/>
    <n v="2"/>
    <x v="0"/>
    <x v="2"/>
    <n v="42"/>
    <n v="0"/>
    <n v="42"/>
    <n v="0.7"/>
    <s v="No"/>
    <x v="5"/>
  </r>
  <r>
    <s v="superblock"/>
    <n v="2"/>
    <x v="0"/>
    <x v="2"/>
    <n v="42"/>
    <n v="33"/>
    <n v="9"/>
    <n v="0"/>
    <s v="No"/>
    <x v="5"/>
  </r>
  <r>
    <s v="superblock"/>
    <n v="2"/>
    <x v="1"/>
    <x v="3"/>
    <n v="42"/>
    <n v="0"/>
    <n v="42"/>
    <n v="3.9"/>
    <s v="Yes"/>
    <x v="5"/>
  </r>
  <r>
    <s v="superblock"/>
    <n v="2"/>
    <x v="1"/>
    <x v="3"/>
    <n v="42"/>
    <n v="0"/>
    <n v="42"/>
    <n v="11.5"/>
    <s v="Yes"/>
    <x v="5"/>
  </r>
  <r>
    <s v="superblock"/>
    <n v="3"/>
    <x v="0"/>
    <x v="4"/>
    <n v="42"/>
    <n v="0"/>
    <n v="42"/>
    <n v="11"/>
    <s v="Yes"/>
    <x v="5"/>
  </r>
  <r>
    <s v="falls"/>
    <n v="1"/>
    <x v="1"/>
    <x v="9"/>
    <n v="42"/>
    <n v="0"/>
    <n v="42"/>
    <n v="7.8"/>
    <s v="Yes"/>
    <x v="5"/>
  </r>
  <r>
    <s v="falls"/>
    <n v="3"/>
    <x v="1"/>
    <x v="15"/>
    <n v="42"/>
    <n v="0"/>
    <n v="42"/>
    <n v="0.6"/>
    <s v="No"/>
    <x v="5"/>
  </r>
  <r>
    <s v="falls"/>
    <n v="4"/>
    <x v="0"/>
    <x v="16"/>
    <n v="42"/>
    <n v="0"/>
    <n v="42"/>
    <n v="13.3"/>
    <s v="Yes"/>
    <x v="5"/>
  </r>
  <r>
    <s v="falls"/>
    <n v="4"/>
    <x v="1"/>
    <x v="17"/>
    <n v="42"/>
    <n v="0"/>
    <n v="42"/>
    <n v="15.1"/>
    <s v="Yes"/>
    <x v="5"/>
  </r>
  <r>
    <s v="quail"/>
    <n v="4"/>
    <x v="0"/>
    <x v="20"/>
    <n v="42"/>
    <n v="0"/>
    <n v="42"/>
    <n v="0.4"/>
    <s v="No"/>
    <x v="5"/>
  </r>
  <r>
    <s v="cockatoo"/>
    <n v="10"/>
    <x v="0"/>
    <x v="28"/>
    <n v="42"/>
    <n v="0"/>
    <n v="42"/>
    <n v="14.1"/>
    <s v="Yes"/>
    <x v="5"/>
  </r>
  <r>
    <s v="superblock"/>
    <n v="2"/>
    <x v="0"/>
    <x v="2"/>
    <n v="43"/>
    <n v="0"/>
    <n v="43"/>
    <n v="0.9"/>
    <s v="No"/>
    <x v="5"/>
  </r>
  <r>
    <s v="superblock"/>
    <n v="2"/>
    <x v="0"/>
    <x v="2"/>
    <n v="43"/>
    <n v="0"/>
    <n v="43"/>
    <n v="1.4"/>
    <s v="Yes"/>
    <x v="5"/>
  </r>
  <r>
    <s v="superblock"/>
    <n v="4"/>
    <x v="1"/>
    <x v="7"/>
    <n v="43"/>
    <n v="30"/>
    <n v="13"/>
    <n v="0"/>
    <s v="No"/>
    <x v="5"/>
  </r>
  <r>
    <s v="falls"/>
    <n v="1"/>
    <x v="1"/>
    <x v="9"/>
    <n v="43"/>
    <n v="0"/>
    <n v="43"/>
    <n v="9"/>
    <s v="Yes"/>
    <x v="5"/>
  </r>
  <r>
    <s v="falls"/>
    <n v="3"/>
    <x v="1"/>
    <x v="15"/>
    <n v="43"/>
    <n v="0"/>
    <n v="43"/>
    <n v="0.2"/>
    <s v="No"/>
    <x v="5"/>
  </r>
  <r>
    <s v="quail"/>
    <n v="4"/>
    <x v="0"/>
    <x v="20"/>
    <n v="43"/>
    <n v="0"/>
    <n v="43"/>
    <n v="1.8"/>
    <s v="Yes"/>
    <x v="5"/>
  </r>
  <r>
    <s v="quail"/>
    <n v="4"/>
    <x v="0"/>
    <x v="20"/>
    <n v="43"/>
    <n v="0"/>
    <n v="43"/>
    <n v="7.4"/>
    <s v="Yes"/>
    <x v="5"/>
  </r>
  <r>
    <s v="alps"/>
    <n v="5"/>
    <x v="1"/>
    <x v="23"/>
    <n v="43"/>
    <n v="0"/>
    <n v="43"/>
    <n v="2"/>
    <s v="Yes"/>
    <x v="5"/>
  </r>
  <r>
    <s v="superblock"/>
    <n v="1"/>
    <x v="1"/>
    <x v="1"/>
    <n v="44"/>
    <n v="0"/>
    <n v="44"/>
    <n v="14"/>
    <s v="Yes"/>
    <x v="5"/>
  </r>
  <r>
    <s v="superblock"/>
    <n v="2"/>
    <x v="1"/>
    <x v="3"/>
    <n v="44"/>
    <n v="0"/>
    <n v="44"/>
    <n v="3.5"/>
    <s v="Yes"/>
    <x v="5"/>
  </r>
  <r>
    <s v="superblock"/>
    <n v="3"/>
    <x v="1"/>
    <x v="5"/>
    <n v="44"/>
    <n v="0"/>
    <n v="44"/>
    <n v="11.6"/>
    <s v="Yes"/>
    <x v="5"/>
  </r>
  <r>
    <s v="superblock"/>
    <n v="3"/>
    <x v="1"/>
    <x v="5"/>
    <n v="44"/>
    <n v="0"/>
    <n v="44"/>
    <n v="11.1"/>
    <s v="Yes"/>
    <x v="5"/>
  </r>
  <r>
    <s v="superblock"/>
    <n v="4"/>
    <x v="1"/>
    <x v="7"/>
    <n v="44"/>
    <n v="0"/>
    <n v="44"/>
    <n v="4.5"/>
    <s v="Yes"/>
    <x v="5"/>
  </r>
  <r>
    <s v="falls"/>
    <n v="1"/>
    <x v="1"/>
    <x v="9"/>
    <n v="44"/>
    <n v="0"/>
    <n v="44"/>
    <n v="9.5"/>
    <s v="Yes"/>
    <x v="5"/>
  </r>
  <r>
    <s v="falls"/>
    <n v="1"/>
    <x v="1"/>
    <x v="9"/>
    <n v="44"/>
    <n v="0"/>
    <n v="44"/>
    <n v="9.3000000000000007"/>
    <s v="Yes"/>
    <x v="5"/>
  </r>
  <r>
    <s v="falls"/>
    <n v="2"/>
    <x v="1"/>
    <x v="11"/>
    <n v="44"/>
    <n v="0"/>
    <n v="44"/>
    <n v="13"/>
    <s v="Yes"/>
    <x v="5"/>
  </r>
  <r>
    <s v="alps"/>
    <n v="5"/>
    <x v="1"/>
    <x v="23"/>
    <n v="44"/>
    <n v="0"/>
    <n v="44"/>
    <n v="4.8"/>
    <s v="Yes"/>
    <x v="5"/>
  </r>
  <r>
    <s v="alps"/>
    <n v="5"/>
    <x v="1"/>
    <x v="23"/>
    <n v="44"/>
    <n v="0"/>
    <n v="44"/>
    <n v="0.3"/>
    <s v="No"/>
    <x v="5"/>
  </r>
  <r>
    <s v="alps"/>
    <n v="5"/>
    <x v="1"/>
    <x v="23"/>
    <n v="44"/>
    <n v="0"/>
    <n v="44"/>
    <n v="10.1"/>
    <s v="Yes"/>
    <x v="5"/>
  </r>
  <r>
    <s v="cockatoo"/>
    <n v="11"/>
    <x v="0"/>
    <x v="30"/>
    <n v="44"/>
    <n v="0"/>
    <n v="44"/>
    <n v="9.3000000000000007"/>
    <s v="Yes"/>
    <x v="5"/>
  </r>
  <r>
    <s v="superblock"/>
    <n v="1"/>
    <x v="1"/>
    <x v="1"/>
    <n v="45"/>
    <n v="0"/>
    <n v="45"/>
    <n v="10"/>
    <s v="Yes"/>
    <x v="5"/>
  </r>
  <r>
    <s v="superblock"/>
    <n v="2"/>
    <x v="0"/>
    <x v="2"/>
    <n v="45"/>
    <n v="0"/>
    <n v="45"/>
    <n v="10.6"/>
    <s v="Yes"/>
    <x v="5"/>
  </r>
  <r>
    <s v="superblock"/>
    <n v="3"/>
    <x v="0"/>
    <x v="4"/>
    <n v="45"/>
    <n v="0"/>
    <n v="45"/>
    <n v="2.4"/>
    <s v="Yes"/>
    <x v="5"/>
  </r>
  <r>
    <s v="superblock"/>
    <n v="3"/>
    <x v="1"/>
    <x v="5"/>
    <n v="45"/>
    <n v="0"/>
    <n v="45"/>
    <n v="16.3"/>
    <s v="Yes"/>
    <x v="5"/>
  </r>
  <r>
    <s v="superblock"/>
    <n v="4"/>
    <x v="0"/>
    <x v="6"/>
    <n v="45"/>
    <n v="0"/>
    <n v="45"/>
    <n v="6.1"/>
    <s v="Yes"/>
    <x v="5"/>
  </r>
  <r>
    <s v="falls"/>
    <n v="3"/>
    <x v="1"/>
    <x v="15"/>
    <n v="45"/>
    <n v="0"/>
    <n v="45"/>
    <n v="0.9"/>
    <s v="No"/>
    <x v="5"/>
  </r>
  <r>
    <s v="quail"/>
    <n v="4"/>
    <x v="0"/>
    <x v="20"/>
    <n v="45"/>
    <n v="0"/>
    <n v="45"/>
    <n v="14"/>
    <s v="Yes"/>
    <x v="5"/>
  </r>
  <r>
    <s v="alps"/>
    <n v="5"/>
    <x v="0"/>
    <x v="22"/>
    <n v="45"/>
    <n v="0"/>
    <n v="45"/>
    <n v="1.4"/>
    <s v="Yes"/>
    <x v="5"/>
  </r>
  <r>
    <s v="superblock"/>
    <n v="1"/>
    <x v="0"/>
    <x v="0"/>
    <n v="46"/>
    <n v="0"/>
    <n v="46"/>
    <n v="18.5"/>
    <s v="Yes"/>
    <x v="5"/>
  </r>
  <r>
    <s v="superblock"/>
    <n v="1"/>
    <x v="1"/>
    <x v="1"/>
    <n v="46"/>
    <n v="0"/>
    <n v="46"/>
    <n v="5.0999999999999996"/>
    <s v="Yes"/>
    <x v="5"/>
  </r>
  <r>
    <s v="superblock"/>
    <n v="2"/>
    <x v="1"/>
    <x v="3"/>
    <n v="46"/>
    <n v="0"/>
    <n v="46"/>
    <n v="11"/>
    <s v="Yes"/>
    <x v="5"/>
  </r>
  <r>
    <s v="superblock"/>
    <n v="3"/>
    <x v="0"/>
    <x v="4"/>
    <n v="46"/>
    <n v="0"/>
    <n v="46"/>
    <n v="7.2"/>
    <s v="Yes"/>
    <x v="5"/>
  </r>
  <r>
    <s v="falls"/>
    <n v="3"/>
    <x v="0"/>
    <x v="14"/>
    <n v="46"/>
    <n v="0"/>
    <n v="46"/>
    <n v="5"/>
    <s v="Yes"/>
    <x v="5"/>
  </r>
  <r>
    <s v="falls"/>
    <n v="4"/>
    <x v="0"/>
    <x v="16"/>
    <n v="46"/>
    <n v="0"/>
    <n v="46"/>
    <n v="14.1"/>
    <s v="Yes"/>
    <x v="5"/>
  </r>
  <r>
    <s v="alps"/>
    <n v="5"/>
    <x v="1"/>
    <x v="23"/>
    <n v="46"/>
    <n v="0"/>
    <n v="46"/>
    <n v="1.4"/>
    <s v="Yes"/>
    <x v="5"/>
  </r>
  <r>
    <s v="alps"/>
    <n v="5"/>
    <x v="1"/>
    <x v="23"/>
    <n v="46"/>
    <n v="0"/>
    <n v="46"/>
    <n v="1.3"/>
    <s v="Yes"/>
    <x v="5"/>
  </r>
  <r>
    <s v="cockatoo"/>
    <n v="11"/>
    <x v="1"/>
    <x v="31"/>
    <n v="46"/>
    <n v="0"/>
    <n v="46"/>
    <n v="7.6"/>
    <s v="Yes"/>
    <x v="5"/>
  </r>
  <r>
    <s v="superblock"/>
    <n v="2"/>
    <x v="0"/>
    <x v="2"/>
    <n v="47"/>
    <n v="0"/>
    <n v="47"/>
    <n v="3.8"/>
    <s v="Yes"/>
    <x v="5"/>
  </r>
  <r>
    <s v="superblock"/>
    <n v="2"/>
    <x v="0"/>
    <x v="2"/>
    <n v="47"/>
    <n v="0"/>
    <n v="47"/>
    <n v="6"/>
    <s v="Yes"/>
    <x v="5"/>
  </r>
  <r>
    <s v="superblock"/>
    <n v="2"/>
    <x v="0"/>
    <x v="2"/>
    <n v="47"/>
    <n v="0"/>
    <n v="47"/>
    <n v="0.4"/>
    <s v="No"/>
    <x v="5"/>
  </r>
  <r>
    <s v="superblock"/>
    <n v="3"/>
    <x v="1"/>
    <x v="5"/>
    <n v="47"/>
    <n v="0"/>
    <n v="47"/>
    <n v="8.6999999999999993"/>
    <s v="Yes"/>
    <x v="5"/>
  </r>
  <r>
    <s v="superblock"/>
    <n v="3"/>
    <x v="1"/>
    <x v="5"/>
    <n v="47"/>
    <n v="0"/>
    <n v="47"/>
    <n v="17.2"/>
    <s v="Yes"/>
    <x v="5"/>
  </r>
  <r>
    <s v="superblock"/>
    <n v="4"/>
    <x v="0"/>
    <x v="6"/>
    <n v="47"/>
    <n v="0"/>
    <n v="47"/>
    <n v="7.8"/>
    <s v="Yes"/>
    <x v="5"/>
  </r>
  <r>
    <s v="falls"/>
    <n v="2"/>
    <x v="1"/>
    <x v="11"/>
    <n v="47"/>
    <n v="0"/>
    <n v="47"/>
    <n v="14"/>
    <s v="Yes"/>
    <x v="5"/>
  </r>
  <r>
    <s v="falls"/>
    <n v="3"/>
    <x v="0"/>
    <x v="14"/>
    <n v="47"/>
    <n v="0"/>
    <n v="47"/>
    <n v="7.3"/>
    <s v="Yes"/>
    <x v="5"/>
  </r>
  <r>
    <s v="quail"/>
    <n v="1"/>
    <x v="0"/>
    <x v="18"/>
    <n v="47"/>
    <n v="0"/>
    <n v="47"/>
    <n v="14.7"/>
    <s v="Yes"/>
    <x v="5"/>
  </r>
  <r>
    <s v="quail"/>
    <n v="4"/>
    <x v="0"/>
    <x v="20"/>
    <n v="47"/>
    <n v="0"/>
    <n v="47"/>
    <n v="0.6"/>
    <s v="No"/>
    <x v="5"/>
  </r>
  <r>
    <s v="alps"/>
    <n v="5"/>
    <x v="0"/>
    <x v="22"/>
    <n v="47"/>
    <n v="0"/>
    <n v="47"/>
    <n v="1.6"/>
    <s v="Yes"/>
    <x v="5"/>
  </r>
  <r>
    <s v="alps"/>
    <n v="5"/>
    <x v="1"/>
    <x v="23"/>
    <n v="47"/>
    <n v="0"/>
    <n v="47"/>
    <n v="5.7"/>
    <s v="Yes"/>
    <x v="5"/>
  </r>
  <r>
    <s v="cockatoo"/>
    <n v="10"/>
    <x v="1"/>
    <x v="29"/>
    <n v="47"/>
    <n v="0"/>
    <n v="47"/>
    <n v="10.5"/>
    <s v="Yes"/>
    <x v="5"/>
  </r>
  <r>
    <s v="cockatoo"/>
    <n v="11"/>
    <x v="1"/>
    <x v="31"/>
    <n v="47"/>
    <n v="0"/>
    <n v="47"/>
    <n v="10.3"/>
    <s v="Yes"/>
    <x v="5"/>
  </r>
  <r>
    <s v="superblock"/>
    <n v="1"/>
    <x v="0"/>
    <x v="0"/>
    <n v="48"/>
    <n v="0"/>
    <n v="48"/>
    <n v="13.3"/>
    <s v="Yes"/>
    <x v="5"/>
  </r>
  <r>
    <s v="superblock"/>
    <n v="1"/>
    <x v="1"/>
    <x v="1"/>
    <n v="48"/>
    <n v="0"/>
    <n v="48"/>
    <n v="8"/>
    <s v="Yes"/>
    <x v="5"/>
  </r>
  <r>
    <s v="superblock"/>
    <n v="2"/>
    <x v="0"/>
    <x v="2"/>
    <n v="48"/>
    <n v="0"/>
    <n v="48"/>
    <n v="0.6"/>
    <s v="No"/>
    <x v="5"/>
  </r>
  <r>
    <s v="superblock"/>
    <n v="2"/>
    <x v="1"/>
    <x v="3"/>
    <n v="48"/>
    <n v="0"/>
    <n v="48"/>
    <n v="2"/>
    <s v="Yes"/>
    <x v="5"/>
  </r>
  <r>
    <s v="superblock"/>
    <n v="3"/>
    <x v="0"/>
    <x v="4"/>
    <n v="48"/>
    <n v="0"/>
    <n v="48"/>
    <n v="11"/>
    <s v="Yes"/>
    <x v="5"/>
  </r>
  <r>
    <s v="superblock"/>
    <n v="3"/>
    <x v="1"/>
    <x v="5"/>
    <n v="48"/>
    <n v="0"/>
    <n v="48"/>
    <n v="12.9"/>
    <s v="Yes"/>
    <x v="5"/>
  </r>
  <r>
    <s v="superblock"/>
    <n v="4"/>
    <x v="0"/>
    <x v="6"/>
    <n v="48"/>
    <n v="0"/>
    <n v="48"/>
    <n v="8.1999999999999993"/>
    <s v="Yes"/>
    <x v="5"/>
  </r>
  <r>
    <s v="falls"/>
    <n v="5"/>
    <x v="1"/>
    <x v="13"/>
    <n v="48"/>
    <n v="0"/>
    <n v="48"/>
    <n v="3"/>
    <s v="Yes"/>
    <x v="5"/>
  </r>
  <r>
    <s v="alps"/>
    <n v="6"/>
    <x v="0"/>
    <x v="25"/>
    <n v="48"/>
    <n v="0"/>
    <n v="48"/>
    <n v="1.5"/>
    <s v="Yes"/>
    <x v="5"/>
  </r>
  <r>
    <s v="cockatoo"/>
    <n v="10"/>
    <x v="1"/>
    <x v="29"/>
    <n v="48"/>
    <n v="0"/>
    <n v="48"/>
    <n v="2.6"/>
    <s v="Yes"/>
    <x v="5"/>
  </r>
  <r>
    <s v="cockatoo"/>
    <n v="11"/>
    <x v="1"/>
    <x v="31"/>
    <n v="48"/>
    <n v="0"/>
    <n v="48"/>
    <n v="8.4"/>
    <s v="Yes"/>
    <x v="5"/>
  </r>
  <r>
    <s v="superblock"/>
    <n v="1"/>
    <x v="1"/>
    <x v="1"/>
    <n v="49"/>
    <n v="0"/>
    <n v="49"/>
    <n v="2"/>
    <s v="Yes"/>
    <x v="5"/>
  </r>
  <r>
    <s v="superblock"/>
    <n v="3"/>
    <x v="0"/>
    <x v="4"/>
    <n v="49"/>
    <n v="0"/>
    <n v="49"/>
    <n v="5.7"/>
    <s v="Yes"/>
    <x v="5"/>
  </r>
  <r>
    <s v="falls"/>
    <n v="1"/>
    <x v="1"/>
    <x v="9"/>
    <n v="49"/>
    <n v="49"/>
    <n v="0"/>
    <n v="0"/>
    <s v="No"/>
    <x v="5"/>
  </r>
  <r>
    <s v="falls"/>
    <n v="5"/>
    <x v="1"/>
    <x v="13"/>
    <n v="49"/>
    <n v="0"/>
    <n v="49"/>
    <n v="9.6"/>
    <s v="Yes"/>
    <x v="5"/>
  </r>
  <r>
    <s v="quail"/>
    <n v="4"/>
    <x v="0"/>
    <x v="20"/>
    <n v="49"/>
    <n v="0"/>
    <n v="49"/>
    <n v="1.6"/>
    <s v="Yes"/>
    <x v="5"/>
  </r>
  <r>
    <s v="alps"/>
    <n v="5"/>
    <x v="1"/>
    <x v="23"/>
    <n v="49"/>
    <n v="0"/>
    <n v="49"/>
    <n v="0.1"/>
    <s v="No"/>
    <x v="5"/>
  </r>
  <r>
    <s v="superblock"/>
    <n v="1"/>
    <x v="0"/>
    <x v="0"/>
    <n v="50"/>
    <n v="0"/>
    <n v="50"/>
    <n v="8.1"/>
    <s v="Yes"/>
    <x v="5"/>
  </r>
  <r>
    <s v="superblock"/>
    <n v="2"/>
    <x v="1"/>
    <x v="3"/>
    <n v="50"/>
    <n v="0"/>
    <n v="50"/>
    <n v="5.4"/>
    <s v="Yes"/>
    <x v="5"/>
  </r>
  <r>
    <s v="superblock"/>
    <n v="3"/>
    <x v="1"/>
    <x v="5"/>
    <n v="50"/>
    <n v="0"/>
    <n v="50"/>
    <n v="1.3"/>
    <s v="Yes"/>
    <x v="5"/>
  </r>
  <r>
    <s v="superblock"/>
    <n v="4"/>
    <x v="0"/>
    <x v="6"/>
    <n v="50"/>
    <n v="10"/>
    <n v="40"/>
    <n v="0"/>
    <s v="No"/>
    <x v="5"/>
  </r>
  <r>
    <s v="falls"/>
    <n v="2"/>
    <x v="1"/>
    <x v="11"/>
    <n v="50"/>
    <n v="0"/>
    <n v="50"/>
    <n v="2.5"/>
    <s v="Yes"/>
    <x v="5"/>
  </r>
  <r>
    <s v="falls"/>
    <n v="5"/>
    <x v="1"/>
    <x v="13"/>
    <n v="50"/>
    <n v="0"/>
    <n v="50"/>
    <n v="10"/>
    <s v="Yes"/>
    <x v="5"/>
  </r>
  <r>
    <s v="falls"/>
    <n v="5"/>
    <x v="1"/>
    <x v="13"/>
    <n v="50"/>
    <n v="0"/>
    <n v="50"/>
    <n v="4.5"/>
    <s v="Yes"/>
    <x v="5"/>
  </r>
  <r>
    <s v="falls"/>
    <n v="3"/>
    <x v="1"/>
    <x v="15"/>
    <n v="50"/>
    <n v="0"/>
    <n v="50"/>
    <n v="3.6"/>
    <s v="Yes"/>
    <x v="5"/>
  </r>
  <r>
    <s v="falls"/>
    <n v="3"/>
    <x v="1"/>
    <x v="15"/>
    <n v="50"/>
    <n v="0"/>
    <n v="50"/>
    <n v="9.6"/>
    <s v="Yes"/>
    <x v="5"/>
  </r>
  <r>
    <s v="falls"/>
    <n v="4"/>
    <x v="1"/>
    <x v="17"/>
    <n v="50"/>
    <n v="0"/>
    <n v="50"/>
    <n v="3.4"/>
    <s v="Yes"/>
    <x v="5"/>
  </r>
  <r>
    <s v="quail"/>
    <n v="4"/>
    <x v="0"/>
    <x v="20"/>
    <n v="50"/>
    <n v="0"/>
    <n v="50"/>
    <n v="2"/>
    <s v="Yes"/>
    <x v="5"/>
  </r>
  <r>
    <s v="quail"/>
    <n v="4"/>
    <x v="0"/>
    <x v="20"/>
    <n v="50"/>
    <n v="0"/>
    <n v="50"/>
    <n v="3.4"/>
    <s v="Yes"/>
    <x v="5"/>
  </r>
  <r>
    <s v="alps"/>
    <n v="5"/>
    <x v="1"/>
    <x v="23"/>
    <n v="50"/>
    <n v="0"/>
    <n v="50"/>
    <n v="3.5"/>
    <s v="Yes"/>
    <x v="5"/>
  </r>
  <r>
    <s v="alps"/>
    <n v="5"/>
    <x v="1"/>
    <x v="23"/>
    <n v="50"/>
    <n v="0"/>
    <n v="50"/>
    <n v="1.3"/>
    <s v="Yes"/>
    <x v="5"/>
  </r>
  <r>
    <s v="alps"/>
    <n v="1"/>
    <x v="1"/>
    <x v="24"/>
    <n v="50"/>
    <n v="0"/>
    <n v="50"/>
    <n v="13.3"/>
    <s v="Yes"/>
    <x v="5"/>
  </r>
  <r>
    <s v="superblock"/>
    <n v="1"/>
    <x v="1"/>
    <x v="1"/>
    <n v="51"/>
    <n v="0"/>
    <n v="51"/>
    <n v="6.8"/>
    <s v="Yes"/>
    <x v="6"/>
  </r>
  <r>
    <s v="superblock"/>
    <n v="2"/>
    <x v="1"/>
    <x v="3"/>
    <n v="51"/>
    <n v="0"/>
    <n v="51"/>
    <n v="2.6"/>
    <s v="Yes"/>
    <x v="6"/>
  </r>
  <r>
    <s v="superblock"/>
    <n v="3"/>
    <x v="0"/>
    <x v="4"/>
    <n v="51"/>
    <n v="0"/>
    <n v="51"/>
    <n v="2.6"/>
    <s v="Yes"/>
    <x v="6"/>
  </r>
  <r>
    <s v="superblock"/>
    <n v="4"/>
    <x v="0"/>
    <x v="6"/>
    <n v="51"/>
    <n v="0"/>
    <n v="51"/>
    <n v="3.6"/>
    <s v="Yes"/>
    <x v="6"/>
  </r>
  <r>
    <s v="superblock"/>
    <n v="4"/>
    <x v="0"/>
    <x v="6"/>
    <n v="51"/>
    <n v="3"/>
    <n v="48"/>
    <n v="5.2"/>
    <s v="Yes"/>
    <x v="6"/>
  </r>
  <r>
    <s v="falls"/>
    <n v="4"/>
    <x v="0"/>
    <x v="16"/>
    <n v="51"/>
    <n v="0"/>
    <n v="51"/>
    <n v="1.6"/>
    <s v="Yes"/>
    <x v="6"/>
  </r>
  <r>
    <s v="superblock"/>
    <n v="1"/>
    <x v="0"/>
    <x v="0"/>
    <n v="52"/>
    <n v="0"/>
    <n v="52"/>
    <n v="11.6"/>
    <s v="Yes"/>
    <x v="6"/>
  </r>
  <r>
    <s v="superblock"/>
    <n v="2"/>
    <x v="0"/>
    <x v="2"/>
    <n v="52"/>
    <n v="42"/>
    <n v="10"/>
    <n v="0"/>
    <s v="No"/>
    <x v="6"/>
  </r>
  <r>
    <s v="falls"/>
    <n v="1"/>
    <x v="0"/>
    <x v="8"/>
    <n v="52"/>
    <n v="52"/>
    <n v="52"/>
    <n v="0"/>
    <s v="No"/>
    <x v="6"/>
  </r>
  <r>
    <s v="falls"/>
    <n v="5"/>
    <x v="0"/>
    <x v="12"/>
    <n v="52"/>
    <n v="0"/>
    <n v="52"/>
    <n v="9.5"/>
    <s v="Yes"/>
    <x v="6"/>
  </r>
  <r>
    <s v="falls"/>
    <n v="5"/>
    <x v="1"/>
    <x v="13"/>
    <n v="52"/>
    <n v="0"/>
    <n v="52"/>
    <n v="10.3"/>
    <s v="Yes"/>
    <x v="6"/>
  </r>
  <r>
    <s v="quail"/>
    <n v="4"/>
    <x v="0"/>
    <x v="20"/>
    <n v="52"/>
    <n v="0"/>
    <n v="52"/>
    <n v="1"/>
    <s v="Yes"/>
    <x v="6"/>
  </r>
  <r>
    <s v="alps"/>
    <n v="6"/>
    <x v="1"/>
    <x v="26"/>
    <n v="52"/>
    <n v="0"/>
    <n v="52"/>
    <n v="14.6"/>
    <s v="Yes"/>
    <x v="6"/>
  </r>
  <r>
    <s v="superblock"/>
    <n v="1"/>
    <x v="0"/>
    <x v="0"/>
    <n v="53"/>
    <n v="0"/>
    <n v="53"/>
    <n v="7.1"/>
    <s v="Yes"/>
    <x v="6"/>
  </r>
  <r>
    <s v="superblock"/>
    <n v="1"/>
    <x v="1"/>
    <x v="1"/>
    <n v="53"/>
    <n v="0"/>
    <n v="53"/>
    <n v="4.9000000000000004"/>
    <s v="Yes"/>
    <x v="6"/>
  </r>
  <r>
    <s v="falls"/>
    <n v="1"/>
    <x v="1"/>
    <x v="9"/>
    <n v="53"/>
    <n v="50"/>
    <n v="3"/>
    <n v="0"/>
    <s v="No"/>
    <x v="6"/>
  </r>
  <r>
    <s v="falls"/>
    <n v="5"/>
    <x v="0"/>
    <x v="12"/>
    <n v="53"/>
    <n v="0"/>
    <n v="53"/>
    <n v="10.8"/>
    <s v="Yes"/>
    <x v="6"/>
  </r>
  <r>
    <s v="falls"/>
    <n v="3"/>
    <x v="1"/>
    <x v="15"/>
    <n v="53"/>
    <n v="0"/>
    <n v="53"/>
    <n v="13.6"/>
    <s v="Yes"/>
    <x v="6"/>
  </r>
  <r>
    <s v="falls"/>
    <n v="4"/>
    <x v="1"/>
    <x v="17"/>
    <n v="53"/>
    <n v="0"/>
    <n v="53"/>
    <n v="13.8"/>
    <s v="Yes"/>
    <x v="6"/>
  </r>
  <r>
    <s v="quail"/>
    <n v="1"/>
    <x v="0"/>
    <x v="18"/>
    <n v="53"/>
    <n v="0"/>
    <n v="53"/>
    <n v="8.4"/>
    <s v="Yes"/>
    <x v="6"/>
  </r>
  <r>
    <s v="quail"/>
    <n v="4"/>
    <x v="0"/>
    <x v="20"/>
    <n v="53"/>
    <n v="0"/>
    <n v="53"/>
    <n v="0.7"/>
    <s v="No"/>
    <x v="6"/>
  </r>
  <r>
    <s v="alps"/>
    <n v="5"/>
    <x v="1"/>
    <x v="23"/>
    <n v="53"/>
    <n v="0"/>
    <n v="53"/>
    <n v="1.1000000000000001"/>
    <s v="Yes"/>
    <x v="6"/>
  </r>
  <r>
    <s v="alps"/>
    <n v="5"/>
    <x v="1"/>
    <x v="23"/>
    <n v="53"/>
    <n v="0"/>
    <n v="53"/>
    <n v="2"/>
    <s v="Yes"/>
    <x v="6"/>
  </r>
  <r>
    <s v="alps"/>
    <n v="5"/>
    <x v="1"/>
    <x v="23"/>
    <n v="53"/>
    <n v="0"/>
    <n v="53"/>
    <n v="1.8"/>
    <s v="Yes"/>
    <x v="6"/>
  </r>
  <r>
    <s v="alps"/>
    <n v="1"/>
    <x v="1"/>
    <x v="24"/>
    <n v="53"/>
    <n v="0"/>
    <n v="53"/>
    <n v="2"/>
    <s v="Yes"/>
    <x v="6"/>
  </r>
  <r>
    <s v="alps"/>
    <n v="6"/>
    <x v="1"/>
    <x v="26"/>
    <n v="53"/>
    <n v="0"/>
    <n v="53"/>
    <n v="0.8"/>
    <s v="No"/>
    <x v="6"/>
  </r>
  <r>
    <s v="alps"/>
    <n v="6"/>
    <x v="1"/>
    <x v="26"/>
    <n v="53"/>
    <n v="0"/>
    <n v="53"/>
    <n v="1.3"/>
    <s v="Yes"/>
    <x v="6"/>
  </r>
  <r>
    <s v="superblock"/>
    <n v="2"/>
    <x v="0"/>
    <x v="2"/>
    <n v="54"/>
    <n v="0"/>
    <n v="54"/>
    <n v="10"/>
    <s v="Yes"/>
    <x v="6"/>
  </r>
  <r>
    <s v="superblock"/>
    <n v="2"/>
    <x v="1"/>
    <x v="3"/>
    <n v="54"/>
    <n v="0"/>
    <n v="54"/>
    <n v="4.5999999999999996"/>
    <s v="Yes"/>
    <x v="6"/>
  </r>
  <r>
    <s v="falls"/>
    <n v="2"/>
    <x v="1"/>
    <x v="11"/>
    <n v="54"/>
    <n v="0"/>
    <n v="54"/>
    <n v="11.9"/>
    <s v="Yes"/>
    <x v="6"/>
  </r>
  <r>
    <s v="falls"/>
    <n v="5"/>
    <x v="1"/>
    <x v="13"/>
    <n v="54"/>
    <n v="0"/>
    <n v="54"/>
    <n v="9.1999999999999993"/>
    <s v="Yes"/>
    <x v="6"/>
  </r>
  <r>
    <s v="falls"/>
    <n v="3"/>
    <x v="0"/>
    <x v="14"/>
    <n v="54"/>
    <n v="0"/>
    <n v="54"/>
    <n v="14.5"/>
    <s v="Yes"/>
    <x v="6"/>
  </r>
  <r>
    <s v="falls"/>
    <n v="3"/>
    <x v="0"/>
    <x v="14"/>
    <n v="54"/>
    <n v="0"/>
    <n v="54"/>
    <n v="12"/>
    <s v="Yes"/>
    <x v="6"/>
  </r>
  <r>
    <s v="quail"/>
    <n v="4"/>
    <x v="0"/>
    <x v="20"/>
    <n v="54"/>
    <n v="0"/>
    <n v="54"/>
    <n v="1.8"/>
    <s v="Yes"/>
    <x v="6"/>
  </r>
  <r>
    <s v="alps"/>
    <n v="5"/>
    <x v="1"/>
    <x v="23"/>
    <n v="54"/>
    <n v="0"/>
    <n v="54"/>
    <n v="1.6"/>
    <s v="Yes"/>
    <x v="6"/>
  </r>
  <r>
    <s v="alps"/>
    <n v="5"/>
    <x v="1"/>
    <x v="23"/>
    <n v="54"/>
    <n v="0"/>
    <n v="54"/>
    <n v="1.4"/>
    <s v="Yes"/>
    <x v="6"/>
  </r>
  <r>
    <s v="superblock"/>
    <n v="1"/>
    <x v="1"/>
    <x v="1"/>
    <n v="55"/>
    <n v="0"/>
    <n v="55"/>
    <n v="1.6"/>
    <s v="Yes"/>
    <x v="6"/>
  </r>
  <r>
    <s v="superblock"/>
    <n v="1"/>
    <x v="1"/>
    <x v="1"/>
    <n v="55"/>
    <n v="0"/>
    <n v="55"/>
    <n v="8.3000000000000007"/>
    <s v="Yes"/>
    <x v="6"/>
  </r>
  <r>
    <s v="superblock"/>
    <n v="1"/>
    <x v="1"/>
    <x v="1"/>
    <n v="55"/>
    <n v="0"/>
    <n v="55"/>
    <n v="2.4"/>
    <s v="Yes"/>
    <x v="6"/>
  </r>
  <r>
    <s v="superblock"/>
    <n v="1"/>
    <x v="1"/>
    <x v="1"/>
    <n v="55"/>
    <n v="0"/>
    <n v="55"/>
    <n v="3.3"/>
    <s v="Yes"/>
    <x v="6"/>
  </r>
  <r>
    <s v="superblock"/>
    <n v="2"/>
    <x v="1"/>
    <x v="3"/>
    <n v="55"/>
    <n v="0"/>
    <n v="55"/>
    <n v="7.6"/>
    <s v="Yes"/>
    <x v="6"/>
  </r>
  <r>
    <s v="superblock"/>
    <n v="4"/>
    <x v="0"/>
    <x v="6"/>
    <n v="55"/>
    <n v="0"/>
    <n v="55"/>
    <n v="8.6"/>
    <s v="Yes"/>
    <x v="6"/>
  </r>
  <r>
    <s v="quail"/>
    <n v="4"/>
    <x v="0"/>
    <x v="20"/>
    <n v="55"/>
    <n v="0"/>
    <n v="55"/>
    <n v="6.7"/>
    <s v="Yes"/>
    <x v="6"/>
  </r>
  <r>
    <s v="quail"/>
    <n v="4"/>
    <x v="1"/>
    <x v="21"/>
    <n v="55"/>
    <n v="52"/>
    <n v="3"/>
    <n v="0"/>
    <s v="No"/>
    <x v="6"/>
  </r>
  <r>
    <s v="alps"/>
    <n v="6"/>
    <x v="1"/>
    <x v="26"/>
    <n v="55"/>
    <n v="0"/>
    <n v="55"/>
    <n v="0.6"/>
    <s v="No"/>
    <x v="6"/>
  </r>
  <r>
    <s v="superblock"/>
    <n v="3"/>
    <x v="1"/>
    <x v="5"/>
    <n v="56"/>
    <n v="0"/>
    <n v="56"/>
    <n v="2"/>
    <s v="Yes"/>
    <x v="6"/>
  </r>
  <r>
    <s v="superblock"/>
    <n v="4"/>
    <x v="1"/>
    <x v="7"/>
    <n v="56"/>
    <n v="0"/>
    <n v="56"/>
    <n v="1.3"/>
    <s v="Yes"/>
    <x v="6"/>
  </r>
  <r>
    <s v="falls"/>
    <n v="1"/>
    <x v="0"/>
    <x v="8"/>
    <n v="56"/>
    <n v="0"/>
    <n v="56"/>
    <n v="4.5999999999999996"/>
    <s v="Yes"/>
    <x v="6"/>
  </r>
  <r>
    <s v="falls"/>
    <n v="1"/>
    <x v="1"/>
    <x v="9"/>
    <n v="56"/>
    <n v="0"/>
    <n v="56"/>
    <n v="16"/>
    <s v="Yes"/>
    <x v="6"/>
  </r>
  <r>
    <s v="falls"/>
    <n v="2"/>
    <x v="1"/>
    <x v="11"/>
    <n v="56"/>
    <n v="0"/>
    <n v="56"/>
    <n v="1.7"/>
    <s v="Yes"/>
    <x v="6"/>
  </r>
  <r>
    <s v="falls"/>
    <n v="2"/>
    <x v="1"/>
    <x v="11"/>
    <n v="56"/>
    <n v="0"/>
    <n v="56"/>
    <n v="11.7"/>
    <s v="Yes"/>
    <x v="6"/>
  </r>
  <r>
    <s v="falls"/>
    <n v="5"/>
    <x v="0"/>
    <x v="12"/>
    <n v="56"/>
    <n v="0"/>
    <n v="56"/>
    <n v="2.2999999999999998"/>
    <s v="Yes"/>
    <x v="6"/>
  </r>
  <r>
    <s v="quail"/>
    <n v="4"/>
    <x v="0"/>
    <x v="20"/>
    <n v="56"/>
    <n v="0"/>
    <n v="56"/>
    <n v="8"/>
    <s v="Yes"/>
    <x v="6"/>
  </r>
  <r>
    <s v="alps"/>
    <n v="5"/>
    <x v="1"/>
    <x v="23"/>
    <n v="56"/>
    <n v="0"/>
    <n v="56"/>
    <n v="2.2999999999999998"/>
    <s v="Yes"/>
    <x v="6"/>
  </r>
  <r>
    <s v="alps"/>
    <n v="1"/>
    <x v="1"/>
    <x v="24"/>
    <n v="56"/>
    <n v="0"/>
    <n v="56"/>
    <n v="13.5"/>
    <s v="Yes"/>
    <x v="6"/>
  </r>
  <r>
    <s v="cockatoo"/>
    <n v="10"/>
    <x v="1"/>
    <x v="29"/>
    <n v="56"/>
    <n v="0"/>
    <n v="56"/>
    <n v="6.4"/>
    <s v="Yes"/>
    <x v="6"/>
  </r>
  <r>
    <s v="superblock"/>
    <n v="3"/>
    <x v="1"/>
    <x v="5"/>
    <n v="57"/>
    <n v="6"/>
    <n v="51"/>
    <n v="2.4"/>
    <s v="Yes"/>
    <x v="6"/>
  </r>
  <r>
    <s v="superblock"/>
    <n v="4"/>
    <x v="0"/>
    <x v="6"/>
    <n v="57"/>
    <n v="0"/>
    <n v="57"/>
    <n v="13.4"/>
    <s v="Yes"/>
    <x v="6"/>
  </r>
  <r>
    <s v="falls"/>
    <n v="2"/>
    <x v="0"/>
    <x v="10"/>
    <n v="57"/>
    <n v="57"/>
    <n v="0"/>
    <n v="0"/>
    <s v="No"/>
    <x v="6"/>
  </r>
  <r>
    <s v="falls"/>
    <n v="3"/>
    <x v="1"/>
    <x v="15"/>
    <n v="57"/>
    <n v="0"/>
    <n v="57"/>
    <n v="6"/>
    <s v="Yes"/>
    <x v="6"/>
  </r>
  <r>
    <s v="falls"/>
    <n v="3"/>
    <x v="1"/>
    <x v="15"/>
    <n v="57"/>
    <n v="0"/>
    <n v="57"/>
    <n v="17.2"/>
    <s v="Yes"/>
    <x v="6"/>
  </r>
  <r>
    <s v="falls"/>
    <n v="3"/>
    <x v="1"/>
    <x v="15"/>
    <n v="57"/>
    <n v="0"/>
    <n v="57"/>
    <n v="0.7"/>
    <s v="No"/>
    <x v="6"/>
  </r>
  <r>
    <s v="quail"/>
    <n v="1"/>
    <x v="0"/>
    <x v="18"/>
    <n v="57"/>
    <n v="0"/>
    <n v="57"/>
    <n v="8.5"/>
    <s v="Yes"/>
    <x v="6"/>
  </r>
  <r>
    <s v="quail"/>
    <n v="1"/>
    <x v="0"/>
    <x v="18"/>
    <n v="57"/>
    <n v="51"/>
    <n v="6"/>
    <n v="0"/>
    <s v="No"/>
    <x v="6"/>
  </r>
  <r>
    <s v="alps"/>
    <n v="1"/>
    <x v="1"/>
    <x v="24"/>
    <n v="57"/>
    <n v="0"/>
    <n v="57"/>
    <n v="2.2999999999999998"/>
    <s v="Yes"/>
    <x v="6"/>
  </r>
  <r>
    <s v="alps"/>
    <n v="1"/>
    <x v="1"/>
    <x v="24"/>
    <n v="57"/>
    <n v="0"/>
    <n v="57"/>
    <n v="2.1"/>
    <s v="Yes"/>
    <x v="6"/>
  </r>
  <r>
    <s v="cockatoo"/>
    <n v="10"/>
    <x v="0"/>
    <x v="28"/>
    <n v="57"/>
    <n v="0"/>
    <n v="57"/>
    <n v="3.3"/>
    <s v="Yes"/>
    <x v="6"/>
  </r>
  <r>
    <s v="superblock"/>
    <n v="1"/>
    <x v="0"/>
    <x v="0"/>
    <n v="58"/>
    <n v="0"/>
    <n v="58"/>
    <n v="0.1"/>
    <s v="No"/>
    <x v="6"/>
  </r>
  <r>
    <s v="superblock"/>
    <n v="1"/>
    <x v="1"/>
    <x v="1"/>
    <n v="58"/>
    <n v="0"/>
    <n v="58"/>
    <n v="2"/>
    <s v="Yes"/>
    <x v="6"/>
  </r>
  <r>
    <s v="superblock"/>
    <n v="1"/>
    <x v="1"/>
    <x v="1"/>
    <n v="58"/>
    <n v="0"/>
    <n v="58"/>
    <n v="2.2000000000000002"/>
    <s v="Yes"/>
    <x v="6"/>
  </r>
  <r>
    <s v="superblock"/>
    <n v="3"/>
    <x v="0"/>
    <x v="4"/>
    <n v="58"/>
    <n v="0"/>
    <n v="58"/>
    <n v="10"/>
    <s v="Yes"/>
    <x v="6"/>
  </r>
  <r>
    <s v="falls"/>
    <n v="1"/>
    <x v="1"/>
    <x v="9"/>
    <n v="58"/>
    <n v="0"/>
    <n v="58"/>
    <n v="4.0999999999999996"/>
    <s v="Yes"/>
    <x v="6"/>
  </r>
  <r>
    <s v="alps"/>
    <n v="6"/>
    <x v="1"/>
    <x v="26"/>
    <n v="58"/>
    <n v="0"/>
    <n v="58"/>
    <n v="3.9"/>
    <s v="Yes"/>
    <x v="6"/>
  </r>
  <r>
    <s v="alps"/>
    <n v="6"/>
    <x v="1"/>
    <x v="26"/>
    <n v="58"/>
    <n v="0"/>
    <n v="58"/>
    <n v="10.8"/>
    <s v="Yes"/>
    <x v="6"/>
  </r>
  <r>
    <s v="cockatoo"/>
    <n v="8"/>
    <x v="1"/>
    <x v="27"/>
    <n v="58"/>
    <n v="0"/>
    <n v="58"/>
    <n v="2.4"/>
    <s v="Yes"/>
    <x v="6"/>
  </r>
  <r>
    <s v="cockatoo"/>
    <n v="11"/>
    <x v="1"/>
    <x v="31"/>
    <n v="58"/>
    <n v="0"/>
    <n v="58"/>
    <n v="4.5"/>
    <s v="Yes"/>
    <x v="6"/>
  </r>
  <r>
    <s v="falls"/>
    <n v="2"/>
    <x v="1"/>
    <x v="11"/>
    <n v="59"/>
    <n v="0"/>
    <n v="59"/>
    <n v="19.8"/>
    <s v="Yes"/>
    <x v="6"/>
  </r>
  <r>
    <s v="quail"/>
    <n v="4"/>
    <x v="0"/>
    <x v="20"/>
    <n v="59"/>
    <n v="0"/>
    <n v="59"/>
    <n v="0.6"/>
    <s v="No"/>
    <x v="6"/>
  </r>
  <r>
    <s v="quail"/>
    <n v="4"/>
    <x v="1"/>
    <x v="21"/>
    <n v="59"/>
    <n v="0"/>
    <n v="59"/>
    <n v="0.2"/>
    <s v="No"/>
    <x v="6"/>
  </r>
  <r>
    <s v="cockatoo"/>
    <n v="10"/>
    <x v="0"/>
    <x v="28"/>
    <n v="59"/>
    <n v="0"/>
    <n v="59"/>
    <n v="0.6"/>
    <s v="No"/>
    <x v="6"/>
  </r>
  <r>
    <s v="falls"/>
    <n v="3"/>
    <x v="1"/>
    <x v="15"/>
    <n v="60"/>
    <n v="0"/>
    <n v="60"/>
    <n v="7.5"/>
    <s v="Yes"/>
    <x v="6"/>
  </r>
  <r>
    <s v="alps"/>
    <n v="6"/>
    <x v="1"/>
    <x v="26"/>
    <n v="60"/>
    <n v="0"/>
    <n v="60"/>
    <n v="2"/>
    <s v="Yes"/>
    <x v="6"/>
  </r>
  <r>
    <s v="cockatoo"/>
    <n v="11"/>
    <x v="0"/>
    <x v="30"/>
    <n v="60"/>
    <n v="0"/>
    <n v="60"/>
    <n v="3.5"/>
    <s v="Yes"/>
    <x v="6"/>
  </r>
  <r>
    <s v="cockatoo"/>
    <n v="11"/>
    <x v="0"/>
    <x v="30"/>
    <n v="60"/>
    <n v="0"/>
    <n v="60"/>
    <n v="2.6"/>
    <s v="Yes"/>
    <x v="6"/>
  </r>
  <r>
    <s v="cockatoo"/>
    <n v="11"/>
    <x v="0"/>
    <x v="30"/>
    <n v="60"/>
    <n v="0"/>
    <n v="60"/>
    <n v="2.5"/>
    <s v="Yes"/>
    <x v="6"/>
  </r>
  <r>
    <s v="superblock"/>
    <n v="1"/>
    <x v="1"/>
    <x v="1"/>
    <n v="61"/>
    <n v="0"/>
    <n v="61"/>
    <n v="2"/>
    <s v="Yes"/>
    <x v="6"/>
  </r>
  <r>
    <s v="superblock"/>
    <n v="1"/>
    <x v="1"/>
    <x v="1"/>
    <n v="61"/>
    <n v="0"/>
    <n v="61"/>
    <n v="5.3"/>
    <s v="Yes"/>
    <x v="6"/>
  </r>
  <r>
    <s v="falls"/>
    <n v="1"/>
    <x v="1"/>
    <x v="9"/>
    <n v="61"/>
    <n v="0"/>
    <n v="61"/>
    <n v="8.3000000000000007"/>
    <s v="Yes"/>
    <x v="6"/>
  </r>
  <r>
    <s v="falls"/>
    <n v="3"/>
    <x v="1"/>
    <x v="15"/>
    <n v="61"/>
    <n v="0"/>
    <n v="61"/>
    <n v="6.4"/>
    <s v="Yes"/>
    <x v="6"/>
  </r>
  <r>
    <s v="falls"/>
    <n v="4"/>
    <x v="0"/>
    <x v="16"/>
    <n v="61"/>
    <n v="0"/>
    <n v="61"/>
    <n v="13"/>
    <s v="Yes"/>
    <x v="6"/>
  </r>
  <r>
    <s v="alps"/>
    <n v="5"/>
    <x v="1"/>
    <x v="23"/>
    <n v="61"/>
    <n v="0"/>
    <n v="61"/>
    <n v="0.6"/>
    <s v="No"/>
    <x v="6"/>
  </r>
  <r>
    <s v="cockatoo"/>
    <n v="11"/>
    <x v="0"/>
    <x v="30"/>
    <n v="61"/>
    <n v="0"/>
    <n v="61"/>
    <n v="2.6"/>
    <s v="Yes"/>
    <x v="6"/>
  </r>
  <r>
    <s v="cockatoo"/>
    <n v="11"/>
    <x v="1"/>
    <x v="31"/>
    <n v="61"/>
    <n v="0"/>
    <n v="61"/>
    <n v="1.7"/>
    <s v="Yes"/>
    <x v="6"/>
  </r>
  <r>
    <s v="superblock"/>
    <n v="1"/>
    <x v="1"/>
    <x v="1"/>
    <n v="62"/>
    <n v="0"/>
    <n v="62"/>
    <n v="0.7"/>
    <s v="No"/>
    <x v="6"/>
  </r>
  <r>
    <s v="superblock"/>
    <n v="3"/>
    <x v="1"/>
    <x v="5"/>
    <n v="62"/>
    <n v="0"/>
    <n v="62"/>
    <n v="6.5"/>
    <s v="Yes"/>
    <x v="6"/>
  </r>
  <r>
    <s v="superblock"/>
    <n v="4"/>
    <x v="1"/>
    <x v="7"/>
    <n v="62"/>
    <n v="0"/>
    <n v="62"/>
    <n v="1.6"/>
    <s v="Yes"/>
    <x v="6"/>
  </r>
  <r>
    <s v="falls"/>
    <n v="3"/>
    <x v="1"/>
    <x v="15"/>
    <n v="62"/>
    <n v="0"/>
    <n v="62"/>
    <n v="13.4"/>
    <s v="Yes"/>
    <x v="6"/>
  </r>
  <r>
    <s v="falls"/>
    <n v="4"/>
    <x v="1"/>
    <x v="17"/>
    <n v="62"/>
    <n v="0"/>
    <n v="62"/>
    <n v="16.2"/>
    <s v="Yes"/>
    <x v="6"/>
  </r>
  <r>
    <s v="alps"/>
    <n v="5"/>
    <x v="1"/>
    <x v="23"/>
    <n v="62"/>
    <n v="0"/>
    <n v="62"/>
    <n v="6.6"/>
    <s v="Yes"/>
    <x v="6"/>
  </r>
  <r>
    <s v="alps"/>
    <n v="1"/>
    <x v="1"/>
    <x v="24"/>
    <n v="62"/>
    <n v="0"/>
    <n v="62"/>
    <n v="6.5"/>
    <s v="Yes"/>
    <x v="6"/>
  </r>
  <r>
    <s v="alps"/>
    <n v="6"/>
    <x v="1"/>
    <x v="26"/>
    <n v="62"/>
    <n v="0"/>
    <n v="62"/>
    <n v="1.3"/>
    <s v="Yes"/>
    <x v="6"/>
  </r>
  <r>
    <s v="alps"/>
    <n v="6"/>
    <x v="1"/>
    <x v="26"/>
    <n v="62"/>
    <n v="0"/>
    <n v="62"/>
    <n v="2.4"/>
    <s v="Yes"/>
    <x v="6"/>
  </r>
  <r>
    <s v="superblock"/>
    <n v="1"/>
    <x v="1"/>
    <x v="1"/>
    <n v="63"/>
    <n v="0"/>
    <n v="63"/>
    <n v="3.6"/>
    <s v="Yes"/>
    <x v="6"/>
  </r>
  <r>
    <s v="superblock"/>
    <n v="2"/>
    <x v="1"/>
    <x v="3"/>
    <n v="63"/>
    <n v="60"/>
    <n v="3"/>
    <n v="0"/>
    <s v="No"/>
    <x v="6"/>
  </r>
  <r>
    <s v="falls"/>
    <n v="3"/>
    <x v="1"/>
    <x v="15"/>
    <n v="63"/>
    <n v="55"/>
    <n v="8"/>
    <n v="0"/>
    <s v="No"/>
    <x v="6"/>
  </r>
  <r>
    <s v="falls"/>
    <n v="3"/>
    <x v="1"/>
    <x v="15"/>
    <n v="63"/>
    <n v="0"/>
    <n v="63"/>
    <n v="9.1"/>
    <s v="Yes"/>
    <x v="6"/>
  </r>
  <r>
    <s v="falls"/>
    <n v="4"/>
    <x v="1"/>
    <x v="17"/>
    <n v="63"/>
    <n v="0"/>
    <n v="63"/>
    <n v="19"/>
    <s v="Yes"/>
    <x v="6"/>
  </r>
  <r>
    <s v="alps"/>
    <n v="1"/>
    <x v="1"/>
    <x v="24"/>
    <n v="63"/>
    <n v="0"/>
    <n v="63"/>
    <n v="1.1000000000000001"/>
    <s v="Yes"/>
    <x v="6"/>
  </r>
  <r>
    <s v="alps"/>
    <n v="1"/>
    <x v="1"/>
    <x v="24"/>
    <n v="63"/>
    <n v="0"/>
    <n v="63"/>
    <n v="13.5"/>
    <s v="Yes"/>
    <x v="6"/>
  </r>
  <r>
    <s v="cockatoo"/>
    <n v="11"/>
    <x v="0"/>
    <x v="30"/>
    <n v="63"/>
    <n v="0"/>
    <n v="63"/>
    <n v="1.2"/>
    <s v="Yes"/>
    <x v="6"/>
  </r>
  <r>
    <s v="superblock"/>
    <n v="1"/>
    <x v="0"/>
    <x v="0"/>
    <n v="64"/>
    <n v="0"/>
    <n v="64"/>
    <n v="3.7"/>
    <s v="Yes"/>
    <x v="6"/>
  </r>
  <r>
    <s v="superblock"/>
    <n v="4"/>
    <x v="1"/>
    <x v="7"/>
    <n v="64"/>
    <n v="0"/>
    <n v="64"/>
    <n v="8.5"/>
    <s v="Yes"/>
    <x v="6"/>
  </r>
  <r>
    <s v="falls"/>
    <n v="1"/>
    <x v="1"/>
    <x v="9"/>
    <n v="64"/>
    <n v="0"/>
    <n v="64"/>
    <n v="4"/>
    <s v="Yes"/>
    <x v="6"/>
  </r>
  <r>
    <s v="falls"/>
    <n v="5"/>
    <x v="1"/>
    <x v="13"/>
    <n v="64"/>
    <n v="0"/>
    <n v="64"/>
    <n v="0.4"/>
    <s v="No"/>
    <x v="6"/>
  </r>
  <r>
    <s v="falls"/>
    <n v="5"/>
    <x v="1"/>
    <x v="13"/>
    <n v="64"/>
    <n v="0"/>
    <n v="64"/>
    <n v="3.3"/>
    <s v="Yes"/>
    <x v="6"/>
  </r>
  <r>
    <s v="falls"/>
    <n v="4"/>
    <x v="0"/>
    <x v="16"/>
    <n v="64"/>
    <n v="0"/>
    <n v="64"/>
    <n v="11.6"/>
    <s v="Yes"/>
    <x v="6"/>
  </r>
  <r>
    <s v="falls"/>
    <n v="4"/>
    <x v="0"/>
    <x v="16"/>
    <n v="64"/>
    <n v="61"/>
    <n v="3"/>
    <n v="0"/>
    <s v="No"/>
    <x v="6"/>
  </r>
  <r>
    <s v="alps"/>
    <n v="5"/>
    <x v="1"/>
    <x v="23"/>
    <n v="64"/>
    <n v="0"/>
    <n v="64"/>
    <n v="1.3"/>
    <s v="Yes"/>
    <x v="6"/>
  </r>
  <r>
    <s v="alps"/>
    <n v="5"/>
    <x v="1"/>
    <x v="23"/>
    <n v="64"/>
    <n v="0"/>
    <n v="64"/>
    <n v="1.4"/>
    <s v="Yes"/>
    <x v="6"/>
  </r>
  <r>
    <s v="alps"/>
    <n v="6"/>
    <x v="0"/>
    <x v="25"/>
    <n v="64"/>
    <n v="0"/>
    <n v="64"/>
    <n v="6.1"/>
    <s v="Yes"/>
    <x v="6"/>
  </r>
  <r>
    <s v="cockatoo"/>
    <n v="11"/>
    <x v="0"/>
    <x v="30"/>
    <n v="64"/>
    <n v="0"/>
    <n v="64"/>
    <n v="2"/>
    <s v="Yes"/>
    <x v="6"/>
  </r>
  <r>
    <s v="superblock"/>
    <n v="3"/>
    <x v="1"/>
    <x v="5"/>
    <n v="65"/>
    <n v="0"/>
    <n v="65"/>
    <n v="11.2"/>
    <s v="Yes"/>
    <x v="6"/>
  </r>
  <r>
    <s v="falls"/>
    <n v="2"/>
    <x v="1"/>
    <x v="11"/>
    <n v="65"/>
    <n v="0"/>
    <n v="65"/>
    <n v="59"/>
    <s v="Yes"/>
    <x v="6"/>
  </r>
  <r>
    <s v="quail"/>
    <n v="4"/>
    <x v="1"/>
    <x v="21"/>
    <n v="65"/>
    <n v="0"/>
    <n v="65"/>
    <n v="4.3"/>
    <s v="Yes"/>
    <x v="6"/>
  </r>
  <r>
    <s v="alps"/>
    <n v="5"/>
    <x v="1"/>
    <x v="23"/>
    <n v="65"/>
    <n v="0"/>
    <n v="65"/>
    <n v="1.2"/>
    <s v="Yes"/>
    <x v="6"/>
  </r>
  <r>
    <s v="alps"/>
    <n v="5"/>
    <x v="1"/>
    <x v="23"/>
    <n v="65"/>
    <n v="0"/>
    <n v="65"/>
    <n v="5.6"/>
    <s v="Yes"/>
    <x v="6"/>
  </r>
  <r>
    <s v="alps"/>
    <n v="5"/>
    <x v="1"/>
    <x v="23"/>
    <n v="65"/>
    <n v="0"/>
    <n v="65"/>
    <n v="1.8"/>
    <s v="Yes"/>
    <x v="6"/>
  </r>
  <r>
    <s v="superblock"/>
    <n v="1"/>
    <x v="0"/>
    <x v="0"/>
    <n v="66"/>
    <n v="0"/>
    <n v="66"/>
    <n v="15.1"/>
    <s v="Yes"/>
    <x v="6"/>
  </r>
  <r>
    <s v="superblock"/>
    <n v="2"/>
    <x v="1"/>
    <x v="3"/>
    <n v="66"/>
    <n v="0"/>
    <n v="66"/>
    <n v="10.1"/>
    <s v="Yes"/>
    <x v="6"/>
  </r>
  <r>
    <s v="superblock"/>
    <n v="3"/>
    <x v="0"/>
    <x v="4"/>
    <n v="66"/>
    <n v="0"/>
    <n v="66"/>
    <n v="15"/>
    <s v="Yes"/>
    <x v="6"/>
  </r>
  <r>
    <s v="superblock"/>
    <n v="3"/>
    <x v="1"/>
    <x v="5"/>
    <n v="66"/>
    <n v="0"/>
    <n v="66"/>
    <n v="14.3"/>
    <s v="Yes"/>
    <x v="6"/>
  </r>
  <r>
    <s v="superblock"/>
    <n v="4"/>
    <x v="1"/>
    <x v="7"/>
    <n v="66"/>
    <n v="0"/>
    <n v="66"/>
    <n v="1.4"/>
    <s v="Yes"/>
    <x v="6"/>
  </r>
  <r>
    <s v="falls"/>
    <n v="2"/>
    <x v="1"/>
    <x v="11"/>
    <n v="66"/>
    <n v="0"/>
    <n v="66"/>
    <n v="2.4"/>
    <s v="Yes"/>
    <x v="6"/>
  </r>
  <r>
    <s v="quail"/>
    <n v="1"/>
    <x v="0"/>
    <x v="18"/>
    <n v="66"/>
    <n v="0"/>
    <n v="66"/>
    <n v="7.1"/>
    <s v="Yes"/>
    <x v="6"/>
  </r>
  <r>
    <s v="quail"/>
    <n v="4"/>
    <x v="1"/>
    <x v="21"/>
    <n v="66"/>
    <n v="0"/>
    <n v="66"/>
    <n v="0.7"/>
    <s v="No"/>
    <x v="6"/>
  </r>
  <r>
    <s v="falls"/>
    <n v="1"/>
    <x v="1"/>
    <x v="9"/>
    <n v="67"/>
    <n v="0"/>
    <n v="67"/>
    <n v="7.1"/>
    <s v="Yes"/>
    <x v="6"/>
  </r>
  <r>
    <s v="falls"/>
    <n v="1"/>
    <x v="1"/>
    <x v="9"/>
    <n v="67"/>
    <n v="58"/>
    <n v="9"/>
    <n v="0"/>
    <s v="No"/>
    <x v="6"/>
  </r>
  <r>
    <s v="falls"/>
    <n v="2"/>
    <x v="1"/>
    <x v="11"/>
    <n v="67"/>
    <n v="0"/>
    <n v="67"/>
    <n v="2.6"/>
    <s v="Yes"/>
    <x v="6"/>
  </r>
  <r>
    <s v="alps"/>
    <n v="5"/>
    <x v="1"/>
    <x v="23"/>
    <n v="67"/>
    <n v="0"/>
    <n v="67"/>
    <n v="2.9"/>
    <s v="Yes"/>
    <x v="6"/>
  </r>
  <r>
    <s v="alps"/>
    <n v="5"/>
    <x v="1"/>
    <x v="23"/>
    <n v="67"/>
    <n v="0"/>
    <n v="67"/>
    <n v="1.4"/>
    <s v="Yes"/>
    <x v="6"/>
  </r>
  <r>
    <s v="alps"/>
    <n v="1"/>
    <x v="1"/>
    <x v="24"/>
    <n v="67"/>
    <n v="0"/>
    <n v="67"/>
    <n v="16.8"/>
    <s v="Yes"/>
    <x v="6"/>
  </r>
  <r>
    <s v="superblock"/>
    <n v="1"/>
    <x v="1"/>
    <x v="1"/>
    <n v="68"/>
    <n v="0"/>
    <n v="68"/>
    <n v="0.9"/>
    <s v="No"/>
    <x v="6"/>
  </r>
  <r>
    <s v="superblock"/>
    <n v="3"/>
    <x v="0"/>
    <x v="4"/>
    <n v="68"/>
    <n v="6"/>
    <n v="62"/>
    <n v="19.3"/>
    <s v="Yes"/>
    <x v="6"/>
  </r>
  <r>
    <s v="superblock"/>
    <n v="4"/>
    <x v="1"/>
    <x v="7"/>
    <n v="68"/>
    <n v="0"/>
    <n v="68"/>
    <n v="12.7"/>
    <s v="Yes"/>
    <x v="6"/>
  </r>
  <r>
    <s v="falls"/>
    <n v="1"/>
    <x v="0"/>
    <x v="8"/>
    <n v="68"/>
    <n v="0"/>
    <n v="68"/>
    <n v="11.2"/>
    <s v="Yes"/>
    <x v="6"/>
  </r>
  <r>
    <s v="falls"/>
    <n v="2"/>
    <x v="1"/>
    <x v="11"/>
    <n v="68"/>
    <n v="0"/>
    <n v="68"/>
    <n v="17.5"/>
    <s v="Yes"/>
    <x v="6"/>
  </r>
  <r>
    <s v="falls"/>
    <n v="5"/>
    <x v="1"/>
    <x v="13"/>
    <n v="68"/>
    <n v="0"/>
    <n v="68"/>
    <n v="5"/>
    <s v="Yes"/>
    <x v="6"/>
  </r>
  <r>
    <s v="falls"/>
    <n v="3"/>
    <x v="0"/>
    <x v="14"/>
    <n v="68"/>
    <n v="0"/>
    <n v="68"/>
    <n v="0.2"/>
    <s v="No"/>
    <x v="6"/>
  </r>
  <r>
    <s v="falls"/>
    <n v="4"/>
    <x v="1"/>
    <x v="17"/>
    <n v="68"/>
    <n v="0"/>
    <n v="68"/>
    <n v="15.8"/>
    <s v="Yes"/>
    <x v="6"/>
  </r>
  <r>
    <s v="quail"/>
    <n v="4"/>
    <x v="1"/>
    <x v="21"/>
    <n v="68"/>
    <n v="0"/>
    <n v="68"/>
    <n v="0.6"/>
    <s v="No"/>
    <x v="6"/>
  </r>
  <r>
    <s v="alps"/>
    <n v="6"/>
    <x v="0"/>
    <x v="25"/>
    <n v="68"/>
    <n v="0"/>
    <n v="68"/>
    <n v="4.5"/>
    <s v="Yes"/>
    <x v="6"/>
  </r>
  <r>
    <s v="cockatoo"/>
    <n v="11"/>
    <x v="1"/>
    <x v="31"/>
    <n v="68"/>
    <n v="0"/>
    <n v="68"/>
    <n v="7"/>
    <s v="Yes"/>
    <x v="6"/>
  </r>
  <r>
    <s v="superblock"/>
    <n v="1"/>
    <x v="1"/>
    <x v="1"/>
    <n v="69"/>
    <n v="0"/>
    <n v="69"/>
    <n v="8.6999999999999993"/>
    <s v="Yes"/>
    <x v="6"/>
  </r>
  <r>
    <s v="superblock"/>
    <n v="2"/>
    <x v="0"/>
    <x v="2"/>
    <n v="69"/>
    <n v="0"/>
    <n v="69"/>
    <n v="1.1000000000000001"/>
    <s v="Yes"/>
    <x v="6"/>
  </r>
  <r>
    <s v="superblock"/>
    <n v="2"/>
    <x v="1"/>
    <x v="3"/>
    <n v="69"/>
    <n v="0"/>
    <n v="69"/>
    <n v="12.3"/>
    <s v="Yes"/>
    <x v="6"/>
  </r>
  <r>
    <s v="superblock"/>
    <n v="3"/>
    <x v="1"/>
    <x v="5"/>
    <n v="69"/>
    <n v="0"/>
    <n v="69"/>
    <n v="9.1"/>
    <s v="Yes"/>
    <x v="6"/>
  </r>
  <r>
    <s v="falls"/>
    <n v="3"/>
    <x v="1"/>
    <x v="15"/>
    <n v="69"/>
    <n v="0"/>
    <n v="69"/>
    <n v="14.4"/>
    <s v="Yes"/>
    <x v="6"/>
  </r>
  <r>
    <s v="falls"/>
    <n v="4"/>
    <x v="0"/>
    <x v="16"/>
    <n v="69"/>
    <n v="16"/>
    <n v="53"/>
    <n v="0"/>
    <s v="No"/>
    <x v="6"/>
  </r>
  <r>
    <s v="falls"/>
    <n v="4"/>
    <x v="1"/>
    <x v="17"/>
    <n v="69"/>
    <n v="0"/>
    <n v="69"/>
    <n v="10.5"/>
    <s v="Yes"/>
    <x v="6"/>
  </r>
  <r>
    <s v="alps"/>
    <n v="1"/>
    <x v="1"/>
    <x v="24"/>
    <n v="69"/>
    <n v="0"/>
    <n v="69"/>
    <n v="11"/>
    <s v="Yes"/>
    <x v="6"/>
  </r>
  <r>
    <s v="superblock"/>
    <n v="1"/>
    <x v="0"/>
    <x v="0"/>
    <n v="70"/>
    <n v="0"/>
    <n v="70"/>
    <n v="13.6"/>
    <s v="Yes"/>
    <x v="6"/>
  </r>
  <r>
    <s v="superblock"/>
    <n v="2"/>
    <x v="1"/>
    <x v="3"/>
    <n v="70"/>
    <n v="0"/>
    <n v="70"/>
    <n v="13.2"/>
    <s v="Yes"/>
    <x v="6"/>
  </r>
  <r>
    <s v="superblock"/>
    <n v="3"/>
    <x v="0"/>
    <x v="4"/>
    <n v="70"/>
    <n v="0"/>
    <n v="70"/>
    <n v="14.8"/>
    <s v="Yes"/>
    <x v="6"/>
  </r>
  <r>
    <s v="superblock"/>
    <n v="4"/>
    <x v="0"/>
    <x v="6"/>
    <n v="70"/>
    <n v="0"/>
    <n v="70"/>
    <n v="8.3000000000000007"/>
    <s v="Yes"/>
    <x v="6"/>
  </r>
  <r>
    <s v="superblock"/>
    <n v="4"/>
    <x v="0"/>
    <x v="6"/>
    <n v="70"/>
    <n v="0"/>
    <n v="70"/>
    <n v="14.5"/>
    <s v="Yes"/>
    <x v="6"/>
  </r>
  <r>
    <s v="falls"/>
    <n v="1"/>
    <x v="1"/>
    <x v="9"/>
    <n v="70"/>
    <n v="0"/>
    <n v="70"/>
    <n v="7.5"/>
    <s v="Yes"/>
    <x v="6"/>
  </r>
  <r>
    <s v="falls"/>
    <n v="2"/>
    <x v="1"/>
    <x v="11"/>
    <n v="70"/>
    <n v="3"/>
    <n v="67"/>
    <n v="8.6"/>
    <s v="Yes"/>
    <x v="6"/>
  </r>
  <r>
    <s v="falls"/>
    <n v="2"/>
    <x v="1"/>
    <x v="11"/>
    <n v="70"/>
    <n v="0"/>
    <n v="70"/>
    <n v="18"/>
    <s v="Yes"/>
    <x v="6"/>
  </r>
  <r>
    <s v="falls"/>
    <n v="4"/>
    <x v="0"/>
    <x v="16"/>
    <n v="70"/>
    <n v="0"/>
    <n v="70"/>
    <n v="15.8"/>
    <s v="Yes"/>
    <x v="6"/>
  </r>
  <r>
    <s v="quail"/>
    <n v="1"/>
    <x v="0"/>
    <x v="18"/>
    <n v="70"/>
    <n v="57"/>
    <n v="13"/>
    <n v="0"/>
    <s v="No"/>
    <x v="6"/>
  </r>
  <r>
    <s v="superblock"/>
    <n v="1"/>
    <x v="0"/>
    <x v="0"/>
    <n v="71"/>
    <n v="0"/>
    <n v="71"/>
    <n v="13.2"/>
    <s v="Yes"/>
    <x v="6"/>
  </r>
  <r>
    <s v="superblock"/>
    <n v="1"/>
    <x v="0"/>
    <x v="0"/>
    <n v="71"/>
    <n v="0"/>
    <n v="71"/>
    <n v="12.7"/>
    <s v="Yes"/>
    <x v="6"/>
  </r>
  <r>
    <s v="superblock"/>
    <n v="1"/>
    <x v="1"/>
    <x v="1"/>
    <n v="71"/>
    <n v="0"/>
    <n v="71"/>
    <n v="11"/>
    <s v="Yes"/>
    <x v="6"/>
  </r>
  <r>
    <s v="superblock"/>
    <n v="2"/>
    <x v="1"/>
    <x v="3"/>
    <n v="71"/>
    <n v="0"/>
    <n v="71"/>
    <n v="8.5"/>
    <s v="Yes"/>
    <x v="6"/>
  </r>
  <r>
    <s v="superblock"/>
    <n v="2"/>
    <x v="1"/>
    <x v="3"/>
    <n v="71"/>
    <n v="0"/>
    <n v="71"/>
    <n v="0.1"/>
    <s v="No"/>
    <x v="6"/>
  </r>
  <r>
    <s v="superblock"/>
    <n v="4"/>
    <x v="1"/>
    <x v="7"/>
    <n v="71"/>
    <n v="0"/>
    <n v="71"/>
    <n v="7.1"/>
    <s v="Yes"/>
    <x v="6"/>
  </r>
  <r>
    <s v="falls"/>
    <n v="4"/>
    <x v="1"/>
    <x v="17"/>
    <n v="71"/>
    <n v="0"/>
    <n v="71"/>
    <n v="9.4"/>
    <s v="Yes"/>
    <x v="6"/>
  </r>
  <r>
    <s v="quail"/>
    <n v="4"/>
    <x v="1"/>
    <x v="21"/>
    <n v="71"/>
    <n v="0"/>
    <n v="71"/>
    <n v="7.8"/>
    <s v="Yes"/>
    <x v="6"/>
  </r>
  <r>
    <s v="alps"/>
    <n v="5"/>
    <x v="1"/>
    <x v="23"/>
    <n v="71"/>
    <n v="0"/>
    <n v="71"/>
    <n v="0.3"/>
    <s v="No"/>
    <x v="6"/>
  </r>
  <r>
    <s v="cockatoo"/>
    <n v="11"/>
    <x v="0"/>
    <x v="30"/>
    <n v="71"/>
    <n v="0"/>
    <n v="71"/>
    <n v="5"/>
    <s v="Yes"/>
    <x v="6"/>
  </r>
  <r>
    <s v="superblock"/>
    <n v="1"/>
    <x v="0"/>
    <x v="0"/>
    <n v="72"/>
    <n v="0"/>
    <n v="72"/>
    <n v="14.3"/>
    <s v="Yes"/>
    <x v="6"/>
  </r>
  <r>
    <s v="falls"/>
    <n v="2"/>
    <x v="1"/>
    <x v="11"/>
    <n v="72"/>
    <n v="0"/>
    <n v="72"/>
    <n v="6.5"/>
    <s v="Yes"/>
    <x v="6"/>
  </r>
  <r>
    <s v="falls"/>
    <n v="5"/>
    <x v="1"/>
    <x v="13"/>
    <n v="72"/>
    <n v="0"/>
    <n v="72"/>
    <n v="9"/>
    <s v="Yes"/>
    <x v="6"/>
  </r>
  <r>
    <s v="falls"/>
    <n v="5"/>
    <x v="1"/>
    <x v="13"/>
    <n v="72"/>
    <n v="0"/>
    <n v="72"/>
    <n v="3.6"/>
    <s v="Yes"/>
    <x v="6"/>
  </r>
  <r>
    <s v="falls"/>
    <n v="4"/>
    <x v="0"/>
    <x v="16"/>
    <n v="72"/>
    <n v="0"/>
    <n v="72"/>
    <n v="4.9000000000000004"/>
    <s v="Yes"/>
    <x v="6"/>
  </r>
  <r>
    <s v="alps"/>
    <n v="5"/>
    <x v="1"/>
    <x v="23"/>
    <n v="72"/>
    <n v="0"/>
    <n v="72"/>
    <n v="0.3"/>
    <s v="No"/>
    <x v="6"/>
  </r>
  <r>
    <s v="alps"/>
    <n v="5"/>
    <x v="1"/>
    <x v="23"/>
    <n v="72"/>
    <n v="50"/>
    <n v="22"/>
    <n v="0"/>
    <s v="No"/>
    <x v="6"/>
  </r>
  <r>
    <s v="alps"/>
    <n v="5"/>
    <x v="1"/>
    <x v="23"/>
    <n v="72"/>
    <n v="0"/>
    <n v="72"/>
    <n v="0.6"/>
    <s v="No"/>
    <x v="6"/>
  </r>
  <r>
    <s v="alps"/>
    <n v="1"/>
    <x v="1"/>
    <x v="24"/>
    <n v="72"/>
    <n v="0"/>
    <n v="72"/>
    <n v="2.1"/>
    <s v="Yes"/>
    <x v="6"/>
  </r>
  <r>
    <s v="alps"/>
    <n v="6"/>
    <x v="1"/>
    <x v="26"/>
    <n v="72"/>
    <n v="0"/>
    <n v="72"/>
    <n v="3.3"/>
    <s v="Yes"/>
    <x v="6"/>
  </r>
  <r>
    <s v="alps"/>
    <n v="6"/>
    <x v="1"/>
    <x v="26"/>
    <n v="72"/>
    <n v="0"/>
    <n v="72"/>
    <n v="4.2"/>
    <s v="Yes"/>
    <x v="6"/>
  </r>
  <r>
    <s v="superblock"/>
    <n v="1"/>
    <x v="0"/>
    <x v="0"/>
    <n v="73"/>
    <n v="0"/>
    <n v="73"/>
    <n v="9.4"/>
    <s v="Yes"/>
    <x v="6"/>
  </r>
  <r>
    <s v="superblock"/>
    <n v="1"/>
    <x v="1"/>
    <x v="1"/>
    <n v="73"/>
    <n v="0"/>
    <n v="73"/>
    <n v="3.4"/>
    <s v="Yes"/>
    <x v="6"/>
  </r>
  <r>
    <s v="superblock"/>
    <n v="4"/>
    <x v="0"/>
    <x v="6"/>
    <n v="73"/>
    <n v="4"/>
    <n v="69"/>
    <n v="2"/>
    <s v="Yes"/>
    <x v="6"/>
  </r>
  <r>
    <s v="falls"/>
    <n v="3"/>
    <x v="1"/>
    <x v="15"/>
    <n v="73"/>
    <n v="0"/>
    <n v="73"/>
    <n v="12.6"/>
    <s v="Yes"/>
    <x v="6"/>
  </r>
  <r>
    <s v="falls"/>
    <n v="4"/>
    <x v="1"/>
    <x v="17"/>
    <n v="73"/>
    <n v="0"/>
    <n v="73"/>
    <n v="1.6"/>
    <s v="Yes"/>
    <x v="6"/>
  </r>
  <r>
    <s v="quail"/>
    <n v="4"/>
    <x v="0"/>
    <x v="20"/>
    <n v="73"/>
    <n v="0"/>
    <n v="73"/>
    <n v="15"/>
    <s v="Yes"/>
    <x v="6"/>
  </r>
  <r>
    <s v="quail"/>
    <n v="4"/>
    <x v="1"/>
    <x v="21"/>
    <n v="73"/>
    <n v="0"/>
    <n v="73"/>
    <n v="5.4"/>
    <s v="Yes"/>
    <x v="6"/>
  </r>
  <r>
    <s v="alps"/>
    <n v="1"/>
    <x v="1"/>
    <x v="24"/>
    <n v="73"/>
    <n v="0"/>
    <n v="73"/>
    <n v="3.9"/>
    <s v="Yes"/>
    <x v="6"/>
  </r>
  <r>
    <s v="superblock"/>
    <n v="1"/>
    <x v="0"/>
    <x v="0"/>
    <n v="74"/>
    <n v="0"/>
    <n v="74"/>
    <n v="1.6"/>
    <s v="Yes"/>
    <x v="6"/>
  </r>
  <r>
    <s v="falls"/>
    <n v="2"/>
    <x v="0"/>
    <x v="10"/>
    <n v="74"/>
    <n v="74"/>
    <n v="0"/>
    <n v="0"/>
    <s v="No"/>
    <x v="6"/>
  </r>
  <r>
    <s v="falls"/>
    <n v="3"/>
    <x v="1"/>
    <x v="15"/>
    <n v="74"/>
    <n v="0"/>
    <n v="74"/>
    <n v="3.1"/>
    <s v="Yes"/>
    <x v="6"/>
  </r>
  <r>
    <s v="quail"/>
    <n v="4"/>
    <x v="1"/>
    <x v="21"/>
    <n v="74"/>
    <n v="0"/>
    <n v="74"/>
    <n v="2.7"/>
    <s v="Yes"/>
    <x v="6"/>
  </r>
  <r>
    <s v="alps"/>
    <n v="5"/>
    <x v="1"/>
    <x v="23"/>
    <n v="74"/>
    <n v="0"/>
    <n v="74"/>
    <n v="1.4"/>
    <s v="Yes"/>
    <x v="6"/>
  </r>
  <r>
    <s v="alps"/>
    <n v="1"/>
    <x v="1"/>
    <x v="24"/>
    <n v="74"/>
    <n v="0"/>
    <n v="74"/>
    <n v="11.3"/>
    <s v="Yes"/>
    <x v="6"/>
  </r>
  <r>
    <s v="alps"/>
    <n v="6"/>
    <x v="1"/>
    <x v="26"/>
    <n v="74"/>
    <n v="0"/>
    <n v="74"/>
    <n v="3.5"/>
    <s v="Yes"/>
    <x v="6"/>
  </r>
  <r>
    <s v="superblock"/>
    <n v="1"/>
    <x v="1"/>
    <x v="1"/>
    <n v="75"/>
    <n v="0"/>
    <n v="75"/>
    <n v="2"/>
    <s v="Yes"/>
    <x v="6"/>
  </r>
  <r>
    <s v="superblock"/>
    <n v="1"/>
    <x v="1"/>
    <x v="1"/>
    <n v="75"/>
    <n v="0"/>
    <n v="75"/>
    <n v="3"/>
    <s v="Yes"/>
    <x v="6"/>
  </r>
  <r>
    <s v="superblock"/>
    <n v="3"/>
    <x v="1"/>
    <x v="5"/>
    <n v="75"/>
    <n v="0"/>
    <n v="75"/>
    <n v="10.5"/>
    <s v="Yes"/>
    <x v="6"/>
  </r>
  <r>
    <s v="falls"/>
    <n v="2"/>
    <x v="1"/>
    <x v="11"/>
    <n v="75"/>
    <n v="0"/>
    <n v="75"/>
    <n v="15.3"/>
    <s v="Yes"/>
    <x v="6"/>
  </r>
  <r>
    <s v="falls"/>
    <n v="4"/>
    <x v="0"/>
    <x v="16"/>
    <n v="75"/>
    <n v="0"/>
    <n v="75"/>
    <n v="15.3"/>
    <s v="Yes"/>
    <x v="6"/>
  </r>
  <r>
    <s v="falls"/>
    <n v="4"/>
    <x v="0"/>
    <x v="16"/>
    <n v="75"/>
    <n v="0"/>
    <n v="75"/>
    <n v="3.1"/>
    <s v="Yes"/>
    <x v="6"/>
  </r>
  <r>
    <s v="falls"/>
    <n v="4"/>
    <x v="1"/>
    <x v="17"/>
    <n v="75"/>
    <n v="67"/>
    <n v="8"/>
    <n v="0"/>
    <s v="No"/>
    <x v="6"/>
  </r>
  <r>
    <s v="falls"/>
    <n v="4"/>
    <x v="1"/>
    <x v="17"/>
    <n v="75"/>
    <n v="0"/>
    <n v="75"/>
    <n v="1.6"/>
    <s v="Yes"/>
    <x v="6"/>
  </r>
  <r>
    <s v="alps"/>
    <n v="5"/>
    <x v="1"/>
    <x v="23"/>
    <n v="75"/>
    <n v="0"/>
    <n v="75"/>
    <n v="2.5"/>
    <s v="Yes"/>
    <x v="6"/>
  </r>
  <r>
    <s v="cockatoo"/>
    <n v="11"/>
    <x v="0"/>
    <x v="30"/>
    <n v="75"/>
    <n v="0"/>
    <n v="75"/>
    <n v="1.1000000000000001"/>
    <s v="Yes"/>
    <x v="6"/>
  </r>
  <r>
    <s v="superblock"/>
    <n v="1"/>
    <x v="1"/>
    <x v="1"/>
    <n v="76"/>
    <n v="0"/>
    <n v="76"/>
    <n v="4.3"/>
    <s v="Yes"/>
    <x v="7"/>
  </r>
  <r>
    <s v="superblock"/>
    <n v="2"/>
    <x v="1"/>
    <x v="3"/>
    <n v="76"/>
    <n v="0"/>
    <n v="76"/>
    <n v="7.8"/>
    <s v="Yes"/>
    <x v="7"/>
  </r>
  <r>
    <s v="superblock"/>
    <n v="3"/>
    <x v="0"/>
    <x v="4"/>
    <n v="76"/>
    <n v="5"/>
    <n v="71"/>
    <n v="9.8000000000000007"/>
    <s v="Yes"/>
    <x v="7"/>
  </r>
  <r>
    <s v="superblock"/>
    <n v="4"/>
    <x v="0"/>
    <x v="6"/>
    <n v="76"/>
    <n v="5"/>
    <n v="71"/>
    <n v="1.4"/>
    <s v="Yes"/>
    <x v="7"/>
  </r>
  <r>
    <s v="falls"/>
    <n v="3"/>
    <x v="1"/>
    <x v="15"/>
    <n v="76"/>
    <n v="0"/>
    <n v="76"/>
    <n v="7"/>
    <s v="Yes"/>
    <x v="7"/>
  </r>
  <r>
    <s v="falls"/>
    <n v="4"/>
    <x v="0"/>
    <x v="16"/>
    <n v="76"/>
    <n v="0"/>
    <n v="76"/>
    <n v="14.5"/>
    <s v="Yes"/>
    <x v="7"/>
  </r>
  <r>
    <s v="alps"/>
    <n v="5"/>
    <x v="1"/>
    <x v="23"/>
    <n v="76"/>
    <n v="0"/>
    <n v="76"/>
    <n v="1.5"/>
    <s v="Yes"/>
    <x v="7"/>
  </r>
  <r>
    <s v="cockatoo"/>
    <n v="10"/>
    <x v="0"/>
    <x v="28"/>
    <n v="76"/>
    <n v="0"/>
    <n v="76"/>
    <n v="16.399999999999999"/>
    <s v="Yes"/>
    <x v="7"/>
  </r>
  <r>
    <s v="cockatoo"/>
    <n v="11"/>
    <x v="1"/>
    <x v="31"/>
    <n v="76"/>
    <n v="0"/>
    <n v="76"/>
    <n v="1.7"/>
    <s v="Yes"/>
    <x v="7"/>
  </r>
  <r>
    <s v="superblock"/>
    <n v="1"/>
    <x v="1"/>
    <x v="1"/>
    <n v="77"/>
    <n v="0"/>
    <n v="77"/>
    <n v="4.4000000000000004"/>
    <s v="Yes"/>
    <x v="7"/>
  </r>
  <r>
    <s v="superblock"/>
    <n v="3"/>
    <x v="1"/>
    <x v="5"/>
    <n v="77"/>
    <n v="0"/>
    <n v="77"/>
    <n v="10.1"/>
    <s v="Yes"/>
    <x v="7"/>
  </r>
  <r>
    <s v="falls"/>
    <n v="1"/>
    <x v="1"/>
    <x v="9"/>
    <n v="77"/>
    <n v="0"/>
    <n v="77"/>
    <n v="8.5"/>
    <s v="Yes"/>
    <x v="7"/>
  </r>
  <r>
    <s v="falls"/>
    <n v="1"/>
    <x v="1"/>
    <x v="9"/>
    <n v="77"/>
    <n v="0"/>
    <n v="77"/>
    <n v="5.5"/>
    <s v="Yes"/>
    <x v="7"/>
  </r>
  <r>
    <s v="falls"/>
    <n v="1"/>
    <x v="1"/>
    <x v="9"/>
    <n v="77"/>
    <n v="0"/>
    <n v="77"/>
    <n v="19.5"/>
    <s v="Yes"/>
    <x v="7"/>
  </r>
  <r>
    <s v="falls"/>
    <n v="5"/>
    <x v="0"/>
    <x v="12"/>
    <n v="77"/>
    <n v="0"/>
    <n v="77"/>
    <n v="8"/>
    <s v="Yes"/>
    <x v="7"/>
  </r>
  <r>
    <s v="falls"/>
    <n v="3"/>
    <x v="1"/>
    <x v="15"/>
    <n v="77"/>
    <n v="0"/>
    <n v="77"/>
    <n v="5"/>
    <s v="Yes"/>
    <x v="7"/>
  </r>
  <r>
    <s v="quail"/>
    <n v="1"/>
    <x v="0"/>
    <x v="18"/>
    <n v="77"/>
    <n v="0"/>
    <n v="77"/>
    <n v="1.7"/>
    <s v="Yes"/>
    <x v="7"/>
  </r>
  <r>
    <s v="alps"/>
    <n v="5"/>
    <x v="1"/>
    <x v="23"/>
    <n v="77"/>
    <n v="0"/>
    <n v="77"/>
    <n v="2.8"/>
    <s v="Yes"/>
    <x v="7"/>
  </r>
  <r>
    <s v="falls"/>
    <n v="3"/>
    <x v="0"/>
    <x v="14"/>
    <n v="78"/>
    <n v="0"/>
    <n v="78"/>
    <n v="0"/>
    <s v="No"/>
    <x v="7"/>
  </r>
  <r>
    <s v="falls"/>
    <n v="3"/>
    <x v="1"/>
    <x v="15"/>
    <n v="78"/>
    <n v="0"/>
    <n v="78"/>
    <n v="9.1999999999999993"/>
    <s v="Yes"/>
    <x v="7"/>
  </r>
  <r>
    <s v="alps"/>
    <n v="5"/>
    <x v="1"/>
    <x v="23"/>
    <n v="78"/>
    <n v="0"/>
    <n v="78"/>
    <n v="1.2"/>
    <s v="Yes"/>
    <x v="7"/>
  </r>
  <r>
    <s v="alps"/>
    <n v="5"/>
    <x v="1"/>
    <x v="23"/>
    <n v="78"/>
    <n v="16"/>
    <n v="62"/>
    <n v="0"/>
    <s v="No"/>
    <x v="7"/>
  </r>
  <r>
    <s v="alps"/>
    <n v="1"/>
    <x v="1"/>
    <x v="24"/>
    <n v="78"/>
    <n v="0"/>
    <n v="78"/>
    <n v="13.4"/>
    <s v="Yes"/>
    <x v="7"/>
  </r>
  <r>
    <s v="alps"/>
    <n v="1"/>
    <x v="1"/>
    <x v="24"/>
    <n v="78"/>
    <n v="0"/>
    <n v="78"/>
    <n v="10.1"/>
    <s v="Yes"/>
    <x v="7"/>
  </r>
  <r>
    <s v="superblock"/>
    <n v="1"/>
    <x v="1"/>
    <x v="1"/>
    <n v="79"/>
    <n v="14"/>
    <n v="65"/>
    <n v="0"/>
    <s v="No"/>
    <x v="7"/>
  </r>
  <r>
    <s v="superblock"/>
    <n v="3"/>
    <x v="0"/>
    <x v="4"/>
    <n v="80"/>
    <n v="0"/>
    <n v="80"/>
    <n v="8.5"/>
    <s v="Yes"/>
    <x v="7"/>
  </r>
  <r>
    <s v="quail"/>
    <n v="4"/>
    <x v="1"/>
    <x v="21"/>
    <n v="80"/>
    <n v="0"/>
    <n v="80"/>
    <n v="3.5"/>
    <s v="Yes"/>
    <x v="7"/>
  </r>
  <r>
    <s v="alps"/>
    <n v="1"/>
    <x v="1"/>
    <x v="24"/>
    <n v="80"/>
    <n v="0"/>
    <n v="80"/>
    <n v="8"/>
    <s v="Yes"/>
    <x v="7"/>
  </r>
  <r>
    <s v="falls"/>
    <n v="1"/>
    <x v="1"/>
    <x v="9"/>
    <n v="81"/>
    <n v="0"/>
    <n v="81"/>
    <n v="11"/>
    <s v="Yes"/>
    <x v="7"/>
  </r>
  <r>
    <s v="falls"/>
    <n v="5"/>
    <x v="1"/>
    <x v="13"/>
    <n v="81"/>
    <n v="0"/>
    <n v="81"/>
    <n v="16.5"/>
    <s v="Yes"/>
    <x v="7"/>
  </r>
  <r>
    <s v="falls"/>
    <n v="5"/>
    <x v="1"/>
    <x v="13"/>
    <n v="81"/>
    <n v="0"/>
    <n v="81"/>
    <n v="0.5"/>
    <s v="No"/>
    <x v="7"/>
  </r>
  <r>
    <s v="alps"/>
    <n v="5"/>
    <x v="1"/>
    <x v="23"/>
    <n v="81"/>
    <n v="0"/>
    <n v="81"/>
    <n v="1.3"/>
    <s v="Yes"/>
    <x v="7"/>
  </r>
  <r>
    <s v="alps"/>
    <n v="1"/>
    <x v="1"/>
    <x v="24"/>
    <n v="81"/>
    <n v="0"/>
    <n v="81"/>
    <n v="10.6"/>
    <s v="Yes"/>
    <x v="7"/>
  </r>
  <r>
    <s v="alps"/>
    <n v="6"/>
    <x v="1"/>
    <x v="26"/>
    <n v="81"/>
    <n v="0"/>
    <n v="81"/>
    <n v="2.4"/>
    <s v="Yes"/>
    <x v="7"/>
  </r>
  <r>
    <s v="superblock"/>
    <n v="2"/>
    <x v="1"/>
    <x v="3"/>
    <n v="82"/>
    <n v="0"/>
    <n v="82"/>
    <n v="6.2"/>
    <s v="Yes"/>
    <x v="7"/>
  </r>
  <r>
    <s v="falls"/>
    <n v="2"/>
    <x v="1"/>
    <x v="11"/>
    <n v="82"/>
    <n v="0"/>
    <n v="82"/>
    <n v="5.8"/>
    <s v="Yes"/>
    <x v="7"/>
  </r>
  <r>
    <s v="falls"/>
    <n v="5"/>
    <x v="1"/>
    <x v="13"/>
    <n v="82"/>
    <n v="0"/>
    <n v="82"/>
    <n v="9.6"/>
    <s v="Yes"/>
    <x v="7"/>
  </r>
  <r>
    <s v="falls"/>
    <n v="4"/>
    <x v="1"/>
    <x v="17"/>
    <n v="82"/>
    <n v="0"/>
    <n v="82"/>
    <n v="15.2"/>
    <s v="Yes"/>
    <x v="7"/>
  </r>
  <r>
    <s v="alps"/>
    <n v="5"/>
    <x v="1"/>
    <x v="23"/>
    <n v="82"/>
    <n v="0"/>
    <n v="82"/>
    <n v="1.6"/>
    <s v="Yes"/>
    <x v="7"/>
  </r>
  <r>
    <s v="cockatoo"/>
    <n v="11"/>
    <x v="0"/>
    <x v="30"/>
    <n v="82"/>
    <n v="0"/>
    <n v="82"/>
    <n v="1.3"/>
    <s v="Yes"/>
    <x v="7"/>
  </r>
  <r>
    <s v="falls"/>
    <n v="2"/>
    <x v="1"/>
    <x v="11"/>
    <n v="83"/>
    <n v="0"/>
    <n v="83"/>
    <n v="5.4"/>
    <s v="Yes"/>
    <x v="7"/>
  </r>
  <r>
    <s v="falls"/>
    <n v="5"/>
    <x v="1"/>
    <x v="13"/>
    <n v="83"/>
    <n v="0"/>
    <n v="83"/>
    <n v="9.5"/>
    <s v="Yes"/>
    <x v="7"/>
  </r>
  <r>
    <s v="falls"/>
    <n v="3"/>
    <x v="1"/>
    <x v="15"/>
    <n v="83"/>
    <n v="0"/>
    <n v="83"/>
    <n v="5.2"/>
    <s v="Yes"/>
    <x v="7"/>
  </r>
  <r>
    <s v="falls"/>
    <n v="4"/>
    <x v="1"/>
    <x v="17"/>
    <n v="83"/>
    <n v="0"/>
    <n v="83"/>
    <n v="8.6999999999999993"/>
    <s v="Yes"/>
    <x v="7"/>
  </r>
  <r>
    <s v="cockatoo"/>
    <n v="10"/>
    <x v="0"/>
    <x v="28"/>
    <n v="83"/>
    <n v="0"/>
    <n v="83"/>
    <n v="14"/>
    <s v="Yes"/>
    <x v="7"/>
  </r>
  <r>
    <s v="superblock"/>
    <n v="1"/>
    <x v="0"/>
    <x v="0"/>
    <n v="84"/>
    <n v="0"/>
    <n v="84"/>
    <n v="16"/>
    <s v="Yes"/>
    <x v="7"/>
  </r>
  <r>
    <s v="superblock"/>
    <n v="2"/>
    <x v="1"/>
    <x v="3"/>
    <n v="84"/>
    <n v="0"/>
    <n v="84"/>
    <n v="6.7"/>
    <s v="Yes"/>
    <x v="7"/>
  </r>
  <r>
    <s v="falls"/>
    <n v="4"/>
    <x v="1"/>
    <x v="17"/>
    <n v="84"/>
    <n v="0"/>
    <n v="84"/>
    <n v="5.3"/>
    <s v="Yes"/>
    <x v="7"/>
  </r>
  <r>
    <s v="superblock"/>
    <n v="1"/>
    <x v="0"/>
    <x v="0"/>
    <n v="85"/>
    <n v="0"/>
    <n v="85"/>
    <n v="12"/>
    <s v="Yes"/>
    <x v="7"/>
  </r>
  <r>
    <s v="superblock"/>
    <n v="4"/>
    <x v="0"/>
    <x v="6"/>
    <n v="85"/>
    <n v="0"/>
    <n v="85"/>
    <n v="9"/>
    <s v="Yes"/>
    <x v="7"/>
  </r>
  <r>
    <s v="quail"/>
    <n v="4"/>
    <x v="0"/>
    <x v="20"/>
    <n v="85"/>
    <n v="0"/>
    <n v="85"/>
    <n v="1.5"/>
    <s v="Yes"/>
    <x v="7"/>
  </r>
  <r>
    <s v="alps"/>
    <n v="6"/>
    <x v="1"/>
    <x v="26"/>
    <n v="85"/>
    <n v="0"/>
    <n v="85"/>
    <n v="2.2999999999999998"/>
    <s v="Yes"/>
    <x v="7"/>
  </r>
  <r>
    <s v="falls"/>
    <n v="5"/>
    <x v="1"/>
    <x v="13"/>
    <n v="86"/>
    <n v="0"/>
    <n v="86"/>
    <n v="13.9"/>
    <s v="Yes"/>
    <x v="7"/>
  </r>
  <r>
    <s v="falls"/>
    <n v="4"/>
    <x v="0"/>
    <x v="16"/>
    <n v="86"/>
    <n v="0"/>
    <n v="86"/>
    <n v="7.2"/>
    <s v="Yes"/>
    <x v="7"/>
  </r>
  <r>
    <s v="alps"/>
    <n v="1"/>
    <x v="1"/>
    <x v="24"/>
    <n v="86"/>
    <n v="0"/>
    <n v="86"/>
    <n v="7.2"/>
    <s v="Yes"/>
    <x v="7"/>
  </r>
  <r>
    <s v="cockatoo"/>
    <n v="8"/>
    <x v="0"/>
    <x v="33"/>
    <n v="86"/>
    <n v="0"/>
    <n v="86"/>
    <n v="1.3"/>
    <s v="Yes"/>
    <x v="7"/>
  </r>
  <r>
    <s v="superblock"/>
    <n v="1"/>
    <x v="1"/>
    <x v="1"/>
    <n v="87"/>
    <n v="0"/>
    <n v="87"/>
    <n v="1.3"/>
    <s v="Yes"/>
    <x v="7"/>
  </r>
  <r>
    <s v="falls"/>
    <n v="2"/>
    <x v="1"/>
    <x v="11"/>
    <n v="87"/>
    <n v="8"/>
    <n v="79"/>
    <n v="1"/>
    <s v="Yes"/>
    <x v="7"/>
  </r>
  <r>
    <s v="falls"/>
    <n v="2"/>
    <x v="1"/>
    <x v="11"/>
    <n v="87"/>
    <n v="0"/>
    <n v="87"/>
    <n v="8.3000000000000007"/>
    <s v="Yes"/>
    <x v="7"/>
  </r>
  <r>
    <s v="falls"/>
    <n v="5"/>
    <x v="1"/>
    <x v="13"/>
    <n v="87"/>
    <n v="0"/>
    <n v="87"/>
    <n v="2.5"/>
    <s v="Yes"/>
    <x v="7"/>
  </r>
  <r>
    <s v="falls"/>
    <n v="4"/>
    <x v="1"/>
    <x v="17"/>
    <n v="87"/>
    <n v="0"/>
    <n v="87"/>
    <n v="18.2"/>
    <s v="Yes"/>
    <x v="7"/>
  </r>
  <r>
    <s v="quail"/>
    <n v="4"/>
    <x v="1"/>
    <x v="21"/>
    <n v="87"/>
    <n v="0"/>
    <n v="87"/>
    <n v="1.5"/>
    <s v="Yes"/>
    <x v="7"/>
  </r>
  <r>
    <s v="alps"/>
    <n v="1"/>
    <x v="1"/>
    <x v="24"/>
    <n v="87"/>
    <n v="0"/>
    <n v="87"/>
    <n v="16"/>
    <s v="Yes"/>
    <x v="7"/>
  </r>
  <r>
    <s v="alps"/>
    <n v="6"/>
    <x v="0"/>
    <x v="25"/>
    <n v="87"/>
    <n v="3"/>
    <n v="84"/>
    <n v="0.6"/>
    <s v="No"/>
    <x v="7"/>
  </r>
  <r>
    <s v="alps"/>
    <n v="6"/>
    <x v="1"/>
    <x v="26"/>
    <n v="87"/>
    <n v="0"/>
    <n v="87"/>
    <n v="1.7"/>
    <s v="Yes"/>
    <x v="7"/>
  </r>
  <r>
    <s v="alps"/>
    <n v="6"/>
    <x v="1"/>
    <x v="26"/>
    <n v="87"/>
    <n v="0"/>
    <n v="87"/>
    <n v="0.1"/>
    <s v="No"/>
    <x v="7"/>
  </r>
  <r>
    <s v="cockatoo"/>
    <n v="10"/>
    <x v="1"/>
    <x v="29"/>
    <n v="87"/>
    <n v="0"/>
    <n v="87"/>
    <n v="2.6"/>
    <s v="Yes"/>
    <x v="7"/>
  </r>
  <r>
    <s v="cockatoo"/>
    <n v="11"/>
    <x v="1"/>
    <x v="31"/>
    <n v="87"/>
    <n v="0"/>
    <n v="87"/>
    <n v="0.3"/>
    <s v="No"/>
    <x v="7"/>
  </r>
  <r>
    <s v="superblock"/>
    <n v="1"/>
    <x v="0"/>
    <x v="0"/>
    <n v="88"/>
    <n v="0"/>
    <n v="88"/>
    <n v="12.1"/>
    <s v="Yes"/>
    <x v="7"/>
  </r>
  <r>
    <s v="falls"/>
    <n v="1"/>
    <x v="1"/>
    <x v="9"/>
    <n v="88"/>
    <n v="0"/>
    <n v="88"/>
    <n v="5.9"/>
    <s v="Yes"/>
    <x v="7"/>
  </r>
  <r>
    <s v="falls"/>
    <n v="1"/>
    <x v="1"/>
    <x v="9"/>
    <n v="88"/>
    <n v="0"/>
    <n v="88"/>
    <n v="7.2"/>
    <s v="Yes"/>
    <x v="7"/>
  </r>
  <r>
    <s v="falls"/>
    <n v="5"/>
    <x v="0"/>
    <x v="12"/>
    <n v="88"/>
    <n v="0"/>
    <n v="88"/>
    <n v="10"/>
    <s v="Yes"/>
    <x v="7"/>
  </r>
  <r>
    <s v="falls"/>
    <n v="3"/>
    <x v="1"/>
    <x v="15"/>
    <n v="88"/>
    <n v="0"/>
    <n v="88"/>
    <n v="7.5"/>
    <s v="Yes"/>
    <x v="7"/>
  </r>
  <r>
    <s v="quail"/>
    <n v="4"/>
    <x v="0"/>
    <x v="20"/>
    <n v="88"/>
    <n v="0"/>
    <n v="88"/>
    <n v="1.1000000000000001"/>
    <s v="Yes"/>
    <x v="7"/>
  </r>
  <r>
    <s v="quail"/>
    <n v="4"/>
    <x v="1"/>
    <x v="21"/>
    <n v="88"/>
    <n v="14"/>
    <n v="74"/>
    <n v="0"/>
    <s v="No"/>
    <x v="7"/>
  </r>
  <r>
    <s v="alps"/>
    <n v="1"/>
    <x v="1"/>
    <x v="24"/>
    <n v="89"/>
    <n v="0"/>
    <n v="89"/>
    <n v="6.2"/>
    <s v="Yes"/>
    <x v="7"/>
  </r>
  <r>
    <s v="cockatoo"/>
    <n v="11"/>
    <x v="0"/>
    <x v="30"/>
    <n v="89"/>
    <n v="0"/>
    <n v="89"/>
    <n v="1.2"/>
    <s v="Yes"/>
    <x v="7"/>
  </r>
  <r>
    <s v="falls"/>
    <n v="1"/>
    <x v="1"/>
    <x v="9"/>
    <n v="90"/>
    <n v="0"/>
    <n v="90"/>
    <n v="11.7"/>
    <s v="Yes"/>
    <x v="7"/>
  </r>
  <r>
    <s v="falls"/>
    <n v="3"/>
    <x v="1"/>
    <x v="15"/>
    <n v="90"/>
    <n v="0"/>
    <n v="90"/>
    <n v="1.7"/>
    <s v="Yes"/>
    <x v="7"/>
  </r>
  <r>
    <s v="quail"/>
    <n v="4"/>
    <x v="1"/>
    <x v="21"/>
    <n v="90"/>
    <n v="0"/>
    <n v="90"/>
    <n v="1.5"/>
    <s v="Yes"/>
    <x v="7"/>
  </r>
  <r>
    <s v="superblock"/>
    <n v="2"/>
    <x v="0"/>
    <x v="2"/>
    <n v="91"/>
    <n v="6"/>
    <n v="85"/>
    <n v="0.2"/>
    <s v="No"/>
    <x v="7"/>
  </r>
  <r>
    <s v="falls"/>
    <n v="2"/>
    <x v="1"/>
    <x v="11"/>
    <n v="91"/>
    <n v="0"/>
    <n v="91"/>
    <n v="14.1"/>
    <s v="Yes"/>
    <x v="7"/>
  </r>
  <r>
    <s v="falls"/>
    <n v="2"/>
    <x v="1"/>
    <x v="11"/>
    <n v="91"/>
    <n v="0"/>
    <n v="91"/>
    <n v="2.5"/>
    <s v="Yes"/>
    <x v="7"/>
  </r>
  <r>
    <s v="quail"/>
    <n v="4"/>
    <x v="1"/>
    <x v="21"/>
    <n v="91"/>
    <n v="0"/>
    <n v="91"/>
    <n v="5.3"/>
    <s v="Yes"/>
    <x v="7"/>
  </r>
  <r>
    <s v="alps"/>
    <n v="5"/>
    <x v="1"/>
    <x v="23"/>
    <n v="91"/>
    <n v="0"/>
    <n v="91"/>
    <n v="1.5"/>
    <s v="Yes"/>
    <x v="7"/>
  </r>
  <r>
    <s v="superblock"/>
    <n v="1"/>
    <x v="0"/>
    <x v="0"/>
    <n v="92"/>
    <n v="0"/>
    <n v="92"/>
    <n v="12.4"/>
    <s v="Yes"/>
    <x v="7"/>
  </r>
  <r>
    <s v="falls"/>
    <n v="2"/>
    <x v="0"/>
    <x v="10"/>
    <n v="92"/>
    <n v="92"/>
    <n v="0"/>
    <n v="0"/>
    <s v="No"/>
    <x v="7"/>
  </r>
  <r>
    <s v="falls"/>
    <n v="3"/>
    <x v="1"/>
    <x v="15"/>
    <n v="92"/>
    <n v="0"/>
    <n v="92"/>
    <n v="6.1"/>
    <s v="Yes"/>
    <x v="7"/>
  </r>
  <r>
    <s v="falls"/>
    <n v="4"/>
    <x v="1"/>
    <x v="17"/>
    <n v="92"/>
    <n v="0"/>
    <n v="92"/>
    <n v="10.5"/>
    <s v="Yes"/>
    <x v="7"/>
  </r>
  <r>
    <s v="cockatoo"/>
    <n v="10"/>
    <x v="0"/>
    <x v="28"/>
    <n v="92"/>
    <n v="0"/>
    <n v="92"/>
    <n v="1.4"/>
    <s v="Yes"/>
    <x v="7"/>
  </r>
  <r>
    <s v="falls"/>
    <n v="1"/>
    <x v="0"/>
    <x v="8"/>
    <n v="93"/>
    <n v="93"/>
    <n v="0"/>
    <n v="0"/>
    <s v="No"/>
    <x v="7"/>
  </r>
  <r>
    <s v="falls"/>
    <n v="2"/>
    <x v="1"/>
    <x v="11"/>
    <n v="93"/>
    <n v="0"/>
    <n v="93"/>
    <n v="10.1"/>
    <s v="Yes"/>
    <x v="7"/>
  </r>
  <r>
    <s v="falls"/>
    <n v="4"/>
    <x v="1"/>
    <x v="17"/>
    <n v="93"/>
    <n v="0"/>
    <n v="93"/>
    <n v="8.1"/>
    <s v="Yes"/>
    <x v="7"/>
  </r>
  <r>
    <s v="alps"/>
    <n v="1"/>
    <x v="1"/>
    <x v="24"/>
    <n v="93"/>
    <n v="0"/>
    <n v="93"/>
    <n v="22.5"/>
    <s v="Yes"/>
    <x v="7"/>
  </r>
  <r>
    <s v="falls"/>
    <n v="1"/>
    <x v="1"/>
    <x v="9"/>
    <n v="94"/>
    <n v="0"/>
    <n v="94"/>
    <n v="5.3"/>
    <s v="Yes"/>
    <x v="7"/>
  </r>
  <r>
    <s v="falls"/>
    <n v="1"/>
    <x v="1"/>
    <x v="9"/>
    <n v="94"/>
    <n v="0"/>
    <n v="94"/>
    <n v="9.5"/>
    <s v="Yes"/>
    <x v="7"/>
  </r>
  <r>
    <s v="falls"/>
    <n v="2"/>
    <x v="1"/>
    <x v="11"/>
    <n v="94"/>
    <n v="6"/>
    <n v="88"/>
    <n v="4"/>
    <s v="Yes"/>
    <x v="7"/>
  </r>
  <r>
    <s v="falls"/>
    <n v="3"/>
    <x v="1"/>
    <x v="15"/>
    <n v="94"/>
    <n v="0"/>
    <n v="94"/>
    <n v="3.8"/>
    <s v="Yes"/>
    <x v="7"/>
  </r>
  <r>
    <s v="falls"/>
    <n v="3"/>
    <x v="1"/>
    <x v="15"/>
    <n v="94"/>
    <n v="0"/>
    <n v="94"/>
    <n v="5.8"/>
    <s v="Yes"/>
    <x v="7"/>
  </r>
  <r>
    <s v="falls"/>
    <n v="3"/>
    <x v="1"/>
    <x v="15"/>
    <n v="94"/>
    <n v="0"/>
    <n v="94"/>
    <n v="16"/>
    <s v="Yes"/>
    <x v="7"/>
  </r>
  <r>
    <s v="falls"/>
    <n v="4"/>
    <x v="1"/>
    <x v="17"/>
    <n v="94"/>
    <n v="0"/>
    <n v="94"/>
    <n v="0.3"/>
    <s v="No"/>
    <x v="7"/>
  </r>
  <r>
    <s v="falls"/>
    <n v="4"/>
    <x v="0"/>
    <x v="16"/>
    <n v="95"/>
    <n v="0"/>
    <n v="95"/>
    <n v="9.1"/>
    <s v="Yes"/>
    <x v="7"/>
  </r>
  <r>
    <s v="falls"/>
    <n v="4"/>
    <x v="1"/>
    <x v="17"/>
    <n v="95"/>
    <n v="0"/>
    <n v="95"/>
    <n v="1.4"/>
    <s v="Yes"/>
    <x v="7"/>
  </r>
  <r>
    <s v="quail"/>
    <n v="4"/>
    <x v="0"/>
    <x v="20"/>
    <n v="95"/>
    <n v="12"/>
    <n v="83"/>
    <n v="0"/>
    <s v="No"/>
    <x v="7"/>
  </r>
  <r>
    <s v="alps"/>
    <n v="5"/>
    <x v="1"/>
    <x v="23"/>
    <n v="95"/>
    <n v="0"/>
    <n v="95"/>
    <n v="0.4"/>
    <s v="No"/>
    <x v="7"/>
  </r>
  <r>
    <s v="cockatoo"/>
    <n v="11"/>
    <x v="0"/>
    <x v="30"/>
    <n v="95"/>
    <n v="0"/>
    <n v="95"/>
    <n v="1"/>
    <s v="Yes"/>
    <x v="7"/>
  </r>
  <r>
    <s v="superblock"/>
    <n v="1"/>
    <x v="0"/>
    <x v="0"/>
    <n v="96"/>
    <n v="0"/>
    <n v="96"/>
    <n v="4.0999999999999996"/>
    <s v="Yes"/>
    <x v="7"/>
  </r>
  <r>
    <s v="superblock"/>
    <n v="3"/>
    <x v="1"/>
    <x v="5"/>
    <n v="96"/>
    <n v="0"/>
    <n v="96"/>
    <n v="9.1999999999999993"/>
    <s v="Yes"/>
    <x v="7"/>
  </r>
  <r>
    <s v="falls"/>
    <n v="4"/>
    <x v="1"/>
    <x v="17"/>
    <n v="96"/>
    <n v="0"/>
    <n v="96"/>
    <n v="16"/>
    <s v="Yes"/>
    <x v="7"/>
  </r>
  <r>
    <s v="alps"/>
    <n v="1"/>
    <x v="1"/>
    <x v="24"/>
    <n v="96"/>
    <n v="0"/>
    <n v="96"/>
    <n v="12.4"/>
    <s v="Yes"/>
    <x v="7"/>
  </r>
  <r>
    <s v="cockatoo"/>
    <n v="11"/>
    <x v="0"/>
    <x v="30"/>
    <n v="96"/>
    <n v="0"/>
    <n v="96"/>
    <n v="1.4"/>
    <s v="Yes"/>
    <x v="7"/>
  </r>
  <r>
    <s v="falls"/>
    <n v="2"/>
    <x v="1"/>
    <x v="11"/>
    <n v="97"/>
    <n v="0"/>
    <n v="97"/>
    <n v="10"/>
    <s v="Yes"/>
    <x v="7"/>
  </r>
  <r>
    <s v="quail"/>
    <n v="4"/>
    <x v="1"/>
    <x v="21"/>
    <n v="97"/>
    <n v="45"/>
    <n v="52"/>
    <n v="0"/>
    <s v="No"/>
    <x v="7"/>
  </r>
  <r>
    <s v="superblock"/>
    <n v="1"/>
    <x v="0"/>
    <x v="0"/>
    <n v="98"/>
    <n v="5"/>
    <n v="93"/>
    <n v="9.3000000000000007"/>
    <s v="Yes"/>
    <x v="7"/>
  </r>
  <r>
    <s v="falls"/>
    <n v="5"/>
    <x v="1"/>
    <x v="13"/>
    <n v="98"/>
    <n v="0"/>
    <n v="98"/>
    <n v="9.4"/>
    <s v="Yes"/>
    <x v="7"/>
  </r>
  <r>
    <s v="quail"/>
    <n v="4"/>
    <x v="1"/>
    <x v="21"/>
    <n v="98"/>
    <n v="38"/>
    <n v="60"/>
    <n v="0"/>
    <s v="No"/>
    <x v="7"/>
  </r>
  <r>
    <s v="alps"/>
    <n v="6"/>
    <x v="1"/>
    <x v="26"/>
    <n v="98"/>
    <n v="0"/>
    <n v="98"/>
    <n v="3.4"/>
    <s v="Yes"/>
    <x v="7"/>
  </r>
  <r>
    <s v="falls"/>
    <n v="1"/>
    <x v="1"/>
    <x v="9"/>
    <n v="99"/>
    <n v="0"/>
    <n v="99"/>
    <n v="6.8"/>
    <s v="Yes"/>
    <x v="7"/>
  </r>
  <r>
    <s v="falls"/>
    <n v="2"/>
    <x v="1"/>
    <x v="11"/>
    <n v="99"/>
    <n v="0"/>
    <n v="99"/>
    <n v="7.4"/>
    <s v="Yes"/>
    <x v="7"/>
  </r>
  <r>
    <s v="cockatoo"/>
    <n v="8"/>
    <x v="0"/>
    <x v="33"/>
    <n v="99"/>
    <n v="0"/>
    <n v="99"/>
    <n v="1.1000000000000001"/>
    <s v="Yes"/>
    <x v="7"/>
  </r>
  <r>
    <s v="falls"/>
    <n v="3"/>
    <x v="1"/>
    <x v="15"/>
    <n v="100"/>
    <n v="0"/>
    <n v="100"/>
    <n v="14.1"/>
    <s v="Yes"/>
    <x v="7"/>
  </r>
  <r>
    <s v="cockatoo"/>
    <n v="11"/>
    <x v="0"/>
    <x v="30"/>
    <n v="100"/>
    <n v="0"/>
    <n v="100"/>
    <n v="1.5"/>
    <s v="Yes"/>
    <x v="7"/>
  </r>
  <r>
    <s v="falls"/>
    <n v="3"/>
    <x v="0"/>
    <x v="14"/>
    <n v="101"/>
    <n v="0"/>
    <n v="101"/>
    <n v="5.6"/>
    <s v="Yes"/>
    <x v="8"/>
  </r>
  <r>
    <s v="falls"/>
    <n v="3"/>
    <x v="1"/>
    <x v="15"/>
    <n v="101"/>
    <n v="0"/>
    <n v="101"/>
    <n v="0.8"/>
    <s v="No"/>
    <x v="8"/>
  </r>
  <r>
    <s v="quail"/>
    <n v="4"/>
    <x v="0"/>
    <x v="20"/>
    <n v="101"/>
    <n v="14"/>
    <n v="87"/>
    <n v="0"/>
    <s v="No"/>
    <x v="8"/>
  </r>
  <r>
    <s v="superblock"/>
    <n v="1"/>
    <x v="0"/>
    <x v="0"/>
    <n v="102"/>
    <n v="0"/>
    <n v="102"/>
    <n v="19.3"/>
    <s v="Yes"/>
    <x v="8"/>
  </r>
  <r>
    <s v="falls"/>
    <n v="1"/>
    <x v="1"/>
    <x v="9"/>
    <n v="102"/>
    <n v="0"/>
    <n v="102"/>
    <n v="12.4"/>
    <s v="Yes"/>
    <x v="8"/>
  </r>
  <r>
    <s v="falls"/>
    <n v="3"/>
    <x v="0"/>
    <x v="14"/>
    <n v="102"/>
    <n v="0"/>
    <n v="102"/>
    <n v="0.3"/>
    <s v="No"/>
    <x v="8"/>
  </r>
  <r>
    <s v="falls"/>
    <n v="3"/>
    <x v="1"/>
    <x v="15"/>
    <n v="102"/>
    <n v="24"/>
    <n v="78"/>
    <n v="0"/>
    <s v="No"/>
    <x v="8"/>
  </r>
  <r>
    <s v="quail"/>
    <n v="4"/>
    <x v="0"/>
    <x v="20"/>
    <n v="102"/>
    <n v="0"/>
    <n v="102"/>
    <n v="0.9"/>
    <s v="No"/>
    <x v="8"/>
  </r>
  <r>
    <s v="alps"/>
    <n v="6"/>
    <x v="0"/>
    <x v="25"/>
    <n v="102"/>
    <n v="0"/>
    <n v="102"/>
    <n v="2.4"/>
    <s v="Yes"/>
    <x v="8"/>
  </r>
  <r>
    <s v="cockatoo"/>
    <n v="11"/>
    <x v="1"/>
    <x v="31"/>
    <n v="102"/>
    <n v="20"/>
    <n v="82"/>
    <n v="0"/>
    <s v="No"/>
    <x v="8"/>
  </r>
  <r>
    <s v="falls"/>
    <n v="1"/>
    <x v="1"/>
    <x v="9"/>
    <n v="103"/>
    <n v="4"/>
    <n v="99"/>
    <n v="4.2"/>
    <s v="Yes"/>
    <x v="8"/>
  </r>
  <r>
    <s v="falls"/>
    <n v="2"/>
    <x v="1"/>
    <x v="11"/>
    <n v="103"/>
    <n v="0"/>
    <n v="103"/>
    <n v="12.9"/>
    <s v="Yes"/>
    <x v="8"/>
  </r>
  <r>
    <s v="falls"/>
    <n v="5"/>
    <x v="1"/>
    <x v="13"/>
    <n v="103"/>
    <n v="0"/>
    <n v="103"/>
    <n v="17.8"/>
    <s v="Yes"/>
    <x v="8"/>
  </r>
  <r>
    <s v="falls"/>
    <n v="4"/>
    <x v="1"/>
    <x v="17"/>
    <n v="103"/>
    <n v="0"/>
    <n v="103"/>
    <n v="11.3"/>
    <s v="Yes"/>
    <x v="8"/>
  </r>
  <r>
    <s v="quail"/>
    <n v="1"/>
    <x v="0"/>
    <x v="18"/>
    <n v="103"/>
    <n v="4"/>
    <n v="99"/>
    <n v="0.2"/>
    <s v="No"/>
    <x v="8"/>
  </r>
  <r>
    <s v="alps"/>
    <n v="5"/>
    <x v="1"/>
    <x v="23"/>
    <n v="103"/>
    <n v="11"/>
    <n v="92"/>
    <n v="0"/>
    <s v="No"/>
    <x v="8"/>
  </r>
  <r>
    <s v="superblock"/>
    <n v="1"/>
    <x v="1"/>
    <x v="1"/>
    <n v="104"/>
    <n v="0"/>
    <n v="104"/>
    <n v="1.2"/>
    <s v="Yes"/>
    <x v="8"/>
  </r>
  <r>
    <s v="falls"/>
    <n v="5"/>
    <x v="1"/>
    <x v="13"/>
    <n v="104"/>
    <n v="0"/>
    <n v="104"/>
    <n v="13"/>
    <s v="Yes"/>
    <x v="8"/>
  </r>
  <r>
    <s v="alps"/>
    <n v="5"/>
    <x v="1"/>
    <x v="23"/>
    <n v="104"/>
    <n v="15"/>
    <n v="89"/>
    <n v="0"/>
    <s v="No"/>
    <x v="8"/>
  </r>
  <r>
    <s v="cockatoo"/>
    <n v="11"/>
    <x v="0"/>
    <x v="30"/>
    <n v="104"/>
    <n v="0"/>
    <n v="104"/>
    <n v="3.4"/>
    <s v="Yes"/>
    <x v="8"/>
  </r>
  <r>
    <s v="falls"/>
    <n v="1"/>
    <x v="1"/>
    <x v="9"/>
    <n v="105"/>
    <n v="0"/>
    <n v="105"/>
    <n v="15.1"/>
    <s v="Yes"/>
    <x v="8"/>
  </r>
  <r>
    <s v="falls"/>
    <n v="4"/>
    <x v="0"/>
    <x v="16"/>
    <n v="105"/>
    <n v="0"/>
    <n v="105"/>
    <n v="2.8"/>
    <s v="Yes"/>
    <x v="8"/>
  </r>
  <r>
    <s v="quail"/>
    <n v="4"/>
    <x v="1"/>
    <x v="21"/>
    <n v="105"/>
    <n v="0"/>
    <n v="105"/>
    <n v="1"/>
    <s v="Yes"/>
    <x v="8"/>
  </r>
  <r>
    <s v="falls"/>
    <n v="3"/>
    <x v="1"/>
    <x v="15"/>
    <n v="106"/>
    <n v="14"/>
    <n v="92"/>
    <n v="0"/>
    <s v="No"/>
    <x v="8"/>
  </r>
  <r>
    <s v="falls"/>
    <n v="3"/>
    <x v="1"/>
    <x v="15"/>
    <n v="106"/>
    <n v="0"/>
    <n v="106"/>
    <n v="7.9"/>
    <s v="Yes"/>
    <x v="8"/>
  </r>
  <r>
    <s v="falls"/>
    <n v="4"/>
    <x v="1"/>
    <x v="17"/>
    <n v="106"/>
    <n v="0"/>
    <n v="106"/>
    <n v="2.6"/>
    <s v="Yes"/>
    <x v="8"/>
  </r>
  <r>
    <s v="cockatoo"/>
    <n v="11"/>
    <x v="0"/>
    <x v="30"/>
    <n v="106"/>
    <n v="0"/>
    <n v="106"/>
    <n v="0.6"/>
    <s v="No"/>
    <x v="8"/>
  </r>
  <r>
    <s v="quail"/>
    <n v="4"/>
    <x v="0"/>
    <x v="20"/>
    <n v="107"/>
    <n v="22"/>
    <n v="85"/>
    <n v="0"/>
    <s v="No"/>
    <x v="8"/>
  </r>
  <r>
    <s v="alps"/>
    <n v="5"/>
    <x v="1"/>
    <x v="23"/>
    <n v="107"/>
    <n v="6"/>
    <n v="101"/>
    <n v="0.5"/>
    <s v="No"/>
    <x v="8"/>
  </r>
  <r>
    <s v="alps"/>
    <n v="1"/>
    <x v="1"/>
    <x v="24"/>
    <n v="107"/>
    <n v="0"/>
    <n v="107"/>
    <n v="18.399999999999999"/>
    <s v="Yes"/>
    <x v="8"/>
  </r>
  <r>
    <s v="alps"/>
    <n v="1"/>
    <x v="1"/>
    <x v="24"/>
    <n v="107"/>
    <n v="0"/>
    <n v="107"/>
    <n v="1.1000000000000001"/>
    <s v="Yes"/>
    <x v="8"/>
  </r>
  <r>
    <s v="alps"/>
    <n v="5"/>
    <x v="1"/>
    <x v="23"/>
    <n v="108"/>
    <n v="4"/>
    <n v="104"/>
    <n v="1.8"/>
    <s v="Yes"/>
    <x v="8"/>
  </r>
  <r>
    <s v="superblock"/>
    <n v="1"/>
    <x v="0"/>
    <x v="0"/>
    <n v="109"/>
    <n v="0"/>
    <n v="109"/>
    <n v="11.3"/>
    <s v="Yes"/>
    <x v="8"/>
  </r>
  <r>
    <s v="falls"/>
    <n v="4"/>
    <x v="0"/>
    <x v="16"/>
    <n v="109"/>
    <n v="0"/>
    <n v="109"/>
    <n v="17"/>
    <s v="Yes"/>
    <x v="8"/>
  </r>
  <r>
    <s v="alps"/>
    <n v="1"/>
    <x v="1"/>
    <x v="24"/>
    <n v="110"/>
    <n v="0"/>
    <n v="110"/>
    <n v="4.7"/>
    <s v="Yes"/>
    <x v="8"/>
  </r>
  <r>
    <s v="alps"/>
    <n v="5"/>
    <x v="1"/>
    <x v="23"/>
    <n v="111"/>
    <n v="6"/>
    <n v="105"/>
    <n v="0.4"/>
    <s v="No"/>
    <x v="8"/>
  </r>
  <r>
    <s v="superblock"/>
    <n v="1"/>
    <x v="0"/>
    <x v="0"/>
    <n v="112"/>
    <n v="12"/>
    <n v="100"/>
    <n v="0"/>
    <s v="No"/>
    <x v="8"/>
  </r>
  <r>
    <s v="quail"/>
    <n v="4"/>
    <x v="0"/>
    <x v="20"/>
    <n v="112"/>
    <n v="25"/>
    <n v="87"/>
    <n v="0"/>
    <s v="No"/>
    <x v="8"/>
  </r>
  <r>
    <s v="superblock"/>
    <n v="1"/>
    <x v="1"/>
    <x v="1"/>
    <n v="113"/>
    <n v="35"/>
    <n v="78"/>
    <n v="0"/>
    <s v="No"/>
    <x v="8"/>
  </r>
  <r>
    <s v="falls"/>
    <n v="4"/>
    <x v="0"/>
    <x v="16"/>
    <n v="113"/>
    <n v="0"/>
    <n v="113"/>
    <n v="1.6"/>
    <s v="No"/>
    <x v="8"/>
  </r>
  <r>
    <s v="alps"/>
    <n v="5"/>
    <x v="1"/>
    <x v="23"/>
    <n v="113"/>
    <n v="16"/>
    <n v="97"/>
    <n v="0"/>
    <s v="No"/>
    <x v="8"/>
  </r>
  <r>
    <s v="cockatoo"/>
    <n v="11"/>
    <x v="0"/>
    <x v="30"/>
    <n v="113"/>
    <n v="0"/>
    <n v="113"/>
    <n v="1.6"/>
    <s v="Yes"/>
    <x v="8"/>
  </r>
  <r>
    <s v="falls"/>
    <n v="5"/>
    <x v="1"/>
    <x v="13"/>
    <n v="114"/>
    <n v="6"/>
    <n v="108"/>
    <n v="7.3"/>
    <s v="Yes"/>
    <x v="8"/>
  </r>
  <r>
    <s v="falls"/>
    <n v="3"/>
    <x v="1"/>
    <x v="15"/>
    <n v="114"/>
    <n v="0"/>
    <n v="114"/>
    <n v="10.1"/>
    <s v="Yes"/>
    <x v="8"/>
  </r>
  <r>
    <s v="falls"/>
    <n v="3"/>
    <x v="1"/>
    <x v="15"/>
    <n v="114"/>
    <n v="0"/>
    <n v="114"/>
    <n v="1.3"/>
    <s v="Yes"/>
    <x v="8"/>
  </r>
  <r>
    <s v="falls"/>
    <n v="3"/>
    <x v="1"/>
    <x v="15"/>
    <n v="114"/>
    <n v="0"/>
    <n v="114"/>
    <n v="14.1"/>
    <s v="Yes"/>
    <x v="8"/>
  </r>
  <r>
    <s v="alps"/>
    <n v="6"/>
    <x v="1"/>
    <x v="26"/>
    <n v="114"/>
    <n v="0"/>
    <n v="114"/>
    <n v="1.7"/>
    <s v="Yes"/>
    <x v="8"/>
  </r>
  <r>
    <s v="cockatoo"/>
    <n v="10"/>
    <x v="1"/>
    <x v="29"/>
    <n v="114"/>
    <n v="12"/>
    <n v="102"/>
    <n v="0"/>
    <s v="No"/>
    <x v="8"/>
  </r>
  <r>
    <s v="superblock"/>
    <n v="3"/>
    <x v="1"/>
    <x v="5"/>
    <n v="115"/>
    <n v="0"/>
    <n v="115"/>
    <n v="10.5"/>
    <s v="Yes"/>
    <x v="8"/>
  </r>
  <r>
    <s v="falls"/>
    <n v="3"/>
    <x v="1"/>
    <x v="15"/>
    <n v="117"/>
    <n v="0"/>
    <n v="117"/>
    <n v="1.4"/>
    <s v="Yes"/>
    <x v="8"/>
  </r>
  <r>
    <s v="falls"/>
    <n v="3"/>
    <x v="1"/>
    <x v="15"/>
    <n v="117"/>
    <n v="0"/>
    <n v="117"/>
    <n v="0.7"/>
    <s v="No"/>
    <x v="8"/>
  </r>
  <r>
    <s v="falls"/>
    <n v="3"/>
    <x v="1"/>
    <x v="15"/>
    <n v="117"/>
    <n v="33"/>
    <n v="84"/>
    <n v="0"/>
    <s v="No"/>
    <x v="8"/>
  </r>
  <r>
    <s v="quail"/>
    <n v="4"/>
    <x v="1"/>
    <x v="21"/>
    <n v="117"/>
    <n v="21"/>
    <n v="96"/>
    <n v="0"/>
    <s v="No"/>
    <x v="8"/>
  </r>
  <r>
    <s v="falls"/>
    <n v="5"/>
    <x v="1"/>
    <x v="13"/>
    <n v="118"/>
    <n v="0"/>
    <n v="118"/>
    <n v="14.7"/>
    <s v="Yes"/>
    <x v="8"/>
  </r>
  <r>
    <s v="quail"/>
    <n v="4"/>
    <x v="0"/>
    <x v="20"/>
    <n v="118"/>
    <n v="26"/>
    <n v="92"/>
    <n v="0"/>
    <s v="No"/>
    <x v="8"/>
  </r>
  <r>
    <s v="quail"/>
    <n v="4"/>
    <x v="1"/>
    <x v="21"/>
    <n v="118"/>
    <n v="22"/>
    <n v="96"/>
    <n v="0"/>
    <s v="No"/>
    <x v="8"/>
  </r>
  <r>
    <s v="alps"/>
    <n v="5"/>
    <x v="1"/>
    <x v="23"/>
    <n v="119"/>
    <n v="12"/>
    <n v="107"/>
    <n v="0"/>
    <s v="No"/>
    <x v="8"/>
  </r>
  <r>
    <s v="superblock"/>
    <n v="1"/>
    <x v="1"/>
    <x v="1"/>
    <n v="120"/>
    <n v="6"/>
    <n v="114"/>
    <n v="0.6"/>
    <s v="No"/>
    <x v="8"/>
  </r>
  <r>
    <s v="superblock"/>
    <n v="4"/>
    <x v="0"/>
    <x v="6"/>
    <n v="120"/>
    <n v="5"/>
    <n v="115"/>
    <n v="16.7"/>
    <s v="Yes"/>
    <x v="8"/>
  </r>
  <r>
    <s v="falls"/>
    <n v="4"/>
    <x v="1"/>
    <x v="17"/>
    <n v="120"/>
    <n v="0"/>
    <n v="120"/>
    <n v="5.4"/>
    <s v="Yes"/>
    <x v="8"/>
  </r>
  <r>
    <s v="alps"/>
    <n v="5"/>
    <x v="1"/>
    <x v="23"/>
    <n v="120"/>
    <n v="0"/>
    <n v="120"/>
    <n v="0.4"/>
    <s v="No"/>
    <x v="8"/>
  </r>
  <r>
    <s v="alps"/>
    <n v="6"/>
    <x v="1"/>
    <x v="26"/>
    <n v="120"/>
    <n v="23"/>
    <n v="97"/>
    <n v="0"/>
    <s v="No"/>
    <x v="8"/>
  </r>
  <r>
    <s v="falls"/>
    <n v="1"/>
    <x v="0"/>
    <x v="8"/>
    <n v="121"/>
    <n v="121"/>
    <n v="121"/>
    <n v="0"/>
    <s v="No"/>
    <x v="8"/>
  </r>
  <r>
    <s v="falls"/>
    <n v="5"/>
    <x v="0"/>
    <x v="12"/>
    <n v="121"/>
    <n v="0"/>
    <n v="121"/>
    <n v="11.6"/>
    <s v="Yes"/>
    <x v="8"/>
  </r>
  <r>
    <s v="alps"/>
    <n v="5"/>
    <x v="1"/>
    <x v="23"/>
    <n v="121"/>
    <n v="0"/>
    <n v="121"/>
    <n v="1"/>
    <s v="Yes"/>
    <x v="8"/>
  </r>
  <r>
    <s v="alps"/>
    <n v="5"/>
    <x v="1"/>
    <x v="23"/>
    <n v="121"/>
    <n v="6"/>
    <n v="115"/>
    <n v="0.1"/>
    <s v="No"/>
    <x v="8"/>
  </r>
  <r>
    <s v="falls"/>
    <n v="1"/>
    <x v="1"/>
    <x v="9"/>
    <n v="123"/>
    <n v="43"/>
    <n v="80"/>
    <n v="0"/>
    <s v="No"/>
    <x v="8"/>
  </r>
  <r>
    <s v="falls"/>
    <n v="3"/>
    <x v="1"/>
    <x v="15"/>
    <n v="123"/>
    <n v="0"/>
    <n v="123"/>
    <n v="12.9"/>
    <s v="Yes"/>
    <x v="8"/>
  </r>
  <r>
    <s v="alps"/>
    <n v="1"/>
    <x v="1"/>
    <x v="24"/>
    <n v="123"/>
    <n v="8"/>
    <n v="115"/>
    <n v="0.1"/>
    <s v="No"/>
    <x v="8"/>
  </r>
  <r>
    <s v="cockatoo"/>
    <n v="11"/>
    <x v="0"/>
    <x v="30"/>
    <n v="123"/>
    <n v="52"/>
    <n v="71"/>
    <n v="0"/>
    <s v="No"/>
    <x v="8"/>
  </r>
  <r>
    <s v="cockatoo"/>
    <n v="11"/>
    <x v="0"/>
    <x v="30"/>
    <n v="123"/>
    <n v="8"/>
    <n v="115"/>
    <n v="0.3"/>
    <s v="No"/>
    <x v="8"/>
  </r>
  <r>
    <s v="falls"/>
    <n v="1"/>
    <x v="1"/>
    <x v="9"/>
    <n v="124"/>
    <n v="0"/>
    <n v="124"/>
    <n v="2.6"/>
    <s v="Yes"/>
    <x v="8"/>
  </r>
  <r>
    <s v="falls"/>
    <n v="3"/>
    <x v="0"/>
    <x v="14"/>
    <n v="124"/>
    <n v="0"/>
    <n v="124"/>
    <n v="8"/>
    <s v="Yes"/>
    <x v="8"/>
  </r>
  <r>
    <s v="quail"/>
    <n v="1"/>
    <x v="0"/>
    <x v="18"/>
    <n v="124"/>
    <n v="21"/>
    <n v="103"/>
    <n v="0"/>
    <s v="No"/>
    <x v="8"/>
  </r>
  <r>
    <s v="superblock"/>
    <n v="3"/>
    <x v="1"/>
    <x v="5"/>
    <n v="125"/>
    <n v="35"/>
    <n v="90"/>
    <n v="0"/>
    <s v="No"/>
    <x v="8"/>
  </r>
  <r>
    <s v="falls"/>
    <n v="3"/>
    <x v="0"/>
    <x v="14"/>
    <n v="125"/>
    <n v="21"/>
    <n v="104"/>
    <n v="0"/>
    <s v="No"/>
    <x v="8"/>
  </r>
  <r>
    <s v="falls"/>
    <n v="3"/>
    <x v="0"/>
    <x v="14"/>
    <n v="125"/>
    <n v="0"/>
    <n v="125"/>
    <n v="0.4"/>
    <s v="No"/>
    <x v="8"/>
  </r>
  <r>
    <s v="alps"/>
    <n v="5"/>
    <x v="1"/>
    <x v="23"/>
    <n v="125"/>
    <n v="14"/>
    <n v="111"/>
    <n v="0"/>
    <s v="No"/>
    <x v="8"/>
  </r>
  <r>
    <s v="alps"/>
    <n v="1"/>
    <x v="1"/>
    <x v="24"/>
    <n v="125"/>
    <n v="0"/>
    <n v="125"/>
    <n v="12.3"/>
    <s v="Yes"/>
    <x v="8"/>
  </r>
  <r>
    <s v="falls"/>
    <n v="4"/>
    <x v="0"/>
    <x v="16"/>
    <n v="126"/>
    <n v="0"/>
    <n v="126"/>
    <n v="2.7"/>
    <s v="Yes"/>
    <x v="8"/>
  </r>
  <r>
    <s v="falls"/>
    <n v="4"/>
    <x v="1"/>
    <x v="17"/>
    <n v="128"/>
    <n v="0"/>
    <n v="128"/>
    <n v="7.3"/>
    <s v="Yes"/>
    <x v="8"/>
  </r>
  <r>
    <s v="alps"/>
    <n v="1"/>
    <x v="1"/>
    <x v="24"/>
    <n v="128"/>
    <n v="16"/>
    <n v="112"/>
    <n v="0"/>
    <s v="No"/>
    <x v="8"/>
  </r>
  <r>
    <s v="cockatoo"/>
    <n v="11"/>
    <x v="0"/>
    <x v="30"/>
    <n v="130"/>
    <n v="0"/>
    <n v="130"/>
    <n v="1.4"/>
    <s v="Yes"/>
    <x v="8"/>
  </r>
  <r>
    <s v="cockatoo"/>
    <n v="11"/>
    <x v="1"/>
    <x v="31"/>
    <n v="130"/>
    <n v="5"/>
    <n v="125"/>
    <n v="0.4"/>
    <s v="No"/>
    <x v="8"/>
  </r>
  <r>
    <s v="falls"/>
    <n v="4"/>
    <x v="1"/>
    <x v="17"/>
    <n v="131"/>
    <n v="0"/>
    <n v="131"/>
    <n v="10"/>
    <s v="Yes"/>
    <x v="8"/>
  </r>
  <r>
    <s v="alps"/>
    <n v="5"/>
    <x v="1"/>
    <x v="23"/>
    <n v="132"/>
    <n v="20"/>
    <n v="112"/>
    <n v="0"/>
    <s v="No"/>
    <x v="8"/>
  </r>
  <r>
    <s v="alps"/>
    <n v="5"/>
    <x v="0"/>
    <x v="22"/>
    <n v="133"/>
    <n v="24"/>
    <n v="109"/>
    <n v="0"/>
    <s v="No"/>
    <x v="8"/>
  </r>
  <r>
    <s v="cockatoo"/>
    <n v="11"/>
    <x v="1"/>
    <x v="31"/>
    <n v="133"/>
    <n v="60"/>
    <n v="73"/>
    <n v="0"/>
    <s v="No"/>
    <x v="8"/>
  </r>
  <r>
    <s v="superblock"/>
    <n v="2"/>
    <x v="1"/>
    <x v="3"/>
    <n v="134"/>
    <n v="0"/>
    <n v="134"/>
    <n v="3.2"/>
    <s v="Yes"/>
    <x v="8"/>
  </r>
  <r>
    <s v="quail"/>
    <n v="4"/>
    <x v="1"/>
    <x v="21"/>
    <n v="134"/>
    <n v="60"/>
    <n v="74"/>
    <n v="0"/>
    <s v="No"/>
    <x v="8"/>
  </r>
  <r>
    <s v="cockatoo"/>
    <n v="11"/>
    <x v="0"/>
    <x v="30"/>
    <n v="134"/>
    <n v="21"/>
    <n v="113"/>
    <n v="0"/>
    <s v="No"/>
    <x v="8"/>
  </r>
  <r>
    <s v="falls"/>
    <n v="3"/>
    <x v="0"/>
    <x v="14"/>
    <n v="135"/>
    <n v="0"/>
    <n v="135"/>
    <n v="0.7"/>
    <s v="No"/>
    <x v="8"/>
  </r>
  <r>
    <s v="cockatoo"/>
    <n v="11"/>
    <x v="0"/>
    <x v="30"/>
    <n v="135"/>
    <n v="23"/>
    <n v="112"/>
    <n v="0"/>
    <s v="No"/>
    <x v="8"/>
  </r>
  <r>
    <s v="alps"/>
    <n v="1"/>
    <x v="1"/>
    <x v="24"/>
    <n v="136"/>
    <n v="0"/>
    <n v="136"/>
    <n v="8"/>
    <s v="Yes"/>
    <x v="8"/>
  </r>
  <r>
    <s v="falls"/>
    <n v="2"/>
    <x v="1"/>
    <x v="11"/>
    <n v="137"/>
    <n v="20"/>
    <n v="117"/>
    <n v="0"/>
    <s v="No"/>
    <x v="8"/>
  </r>
  <r>
    <s v="alps"/>
    <n v="5"/>
    <x v="1"/>
    <x v="23"/>
    <n v="137"/>
    <n v="56"/>
    <n v="81"/>
    <n v="0"/>
    <s v="No"/>
    <x v="8"/>
  </r>
  <r>
    <s v="falls"/>
    <n v="4"/>
    <x v="1"/>
    <x v="17"/>
    <n v="138"/>
    <n v="3"/>
    <n v="135"/>
    <n v="1.6"/>
    <s v="Yes"/>
    <x v="8"/>
  </r>
  <r>
    <s v="alps"/>
    <n v="5"/>
    <x v="0"/>
    <x v="22"/>
    <n v="139"/>
    <n v="6"/>
    <n v="133"/>
    <n v="0.2"/>
    <s v="No"/>
    <x v="8"/>
  </r>
  <r>
    <s v="superblock"/>
    <n v="3"/>
    <x v="0"/>
    <x v="4"/>
    <n v="140"/>
    <n v="26"/>
    <n v="114"/>
    <n v="0"/>
    <s v="No"/>
    <x v="8"/>
  </r>
  <r>
    <s v="falls"/>
    <n v="1"/>
    <x v="0"/>
    <x v="8"/>
    <n v="140"/>
    <n v="140"/>
    <n v="0"/>
    <n v="0"/>
    <s v="No"/>
    <x v="8"/>
  </r>
  <r>
    <s v="alps"/>
    <n v="5"/>
    <x v="1"/>
    <x v="23"/>
    <n v="140"/>
    <n v="41"/>
    <n v="99"/>
    <n v="0"/>
    <s v="No"/>
    <x v="8"/>
  </r>
  <r>
    <s v="alps"/>
    <n v="5"/>
    <x v="1"/>
    <x v="23"/>
    <n v="140"/>
    <n v="53"/>
    <n v="87"/>
    <n v="0"/>
    <s v="No"/>
    <x v="8"/>
  </r>
  <r>
    <s v="alps"/>
    <n v="5"/>
    <x v="1"/>
    <x v="23"/>
    <n v="140"/>
    <n v="17"/>
    <n v="123"/>
    <n v="0"/>
    <s v="No"/>
    <x v="8"/>
  </r>
  <r>
    <s v="cockatoo"/>
    <n v="10"/>
    <x v="1"/>
    <x v="29"/>
    <n v="140"/>
    <n v="35"/>
    <n v="105"/>
    <n v="0"/>
    <s v="No"/>
    <x v="8"/>
  </r>
  <r>
    <s v="alps"/>
    <n v="5"/>
    <x v="1"/>
    <x v="23"/>
    <n v="141"/>
    <n v="33"/>
    <n v="108"/>
    <n v="0"/>
    <s v="No"/>
    <x v="8"/>
  </r>
  <r>
    <s v="alps"/>
    <n v="5"/>
    <x v="1"/>
    <x v="23"/>
    <n v="141"/>
    <n v="37"/>
    <n v="104"/>
    <n v="0"/>
    <s v="No"/>
    <x v="8"/>
  </r>
  <r>
    <s v="falls"/>
    <n v="1"/>
    <x v="0"/>
    <x v="8"/>
    <n v="142"/>
    <n v="142"/>
    <n v="0"/>
    <n v="0"/>
    <s v="No"/>
    <x v="8"/>
  </r>
  <r>
    <s v="falls"/>
    <n v="1"/>
    <x v="1"/>
    <x v="9"/>
    <n v="142"/>
    <n v="56"/>
    <n v="86"/>
    <n v="0"/>
    <s v="No"/>
    <x v="8"/>
  </r>
  <r>
    <s v="falls"/>
    <n v="2"/>
    <x v="1"/>
    <x v="11"/>
    <n v="143"/>
    <n v="37"/>
    <n v="106"/>
    <n v="0"/>
    <s v="No"/>
    <x v="8"/>
  </r>
  <r>
    <s v="falls"/>
    <n v="5"/>
    <x v="1"/>
    <x v="13"/>
    <n v="144"/>
    <n v="27"/>
    <n v="117"/>
    <n v="0"/>
    <s v="No"/>
    <x v="8"/>
  </r>
  <r>
    <s v="falls"/>
    <n v="5"/>
    <x v="0"/>
    <x v="12"/>
    <n v="145"/>
    <n v="0"/>
    <n v="145"/>
    <n v="1.9"/>
    <s v="Yes"/>
    <x v="8"/>
  </r>
  <r>
    <s v="falls"/>
    <n v="3"/>
    <x v="1"/>
    <x v="15"/>
    <n v="145"/>
    <n v="0"/>
    <n v="145"/>
    <n v="1.9"/>
    <s v="Yes"/>
    <x v="8"/>
  </r>
  <r>
    <s v="falls"/>
    <n v="3"/>
    <x v="1"/>
    <x v="15"/>
    <n v="145"/>
    <n v="11"/>
    <n v="134"/>
    <n v="0"/>
    <s v="No"/>
    <x v="8"/>
  </r>
  <r>
    <s v="quail"/>
    <n v="4"/>
    <x v="1"/>
    <x v="21"/>
    <n v="145"/>
    <n v="17"/>
    <n v="128"/>
    <n v="0"/>
    <s v="No"/>
    <x v="8"/>
  </r>
  <r>
    <s v="cockatoo"/>
    <n v="11"/>
    <x v="0"/>
    <x v="30"/>
    <n v="146"/>
    <n v="27"/>
    <n v="119"/>
    <n v="0"/>
    <s v="No"/>
    <x v="8"/>
  </r>
  <r>
    <s v="cockatoo"/>
    <n v="11"/>
    <x v="1"/>
    <x v="31"/>
    <n v="146"/>
    <n v="47"/>
    <n v="99"/>
    <n v="0"/>
    <s v="No"/>
    <x v="8"/>
  </r>
  <r>
    <s v="cockatoo"/>
    <n v="11"/>
    <x v="1"/>
    <x v="31"/>
    <n v="146"/>
    <n v="44"/>
    <n v="102"/>
    <n v="0"/>
    <s v="No"/>
    <x v="8"/>
  </r>
  <r>
    <s v="falls"/>
    <n v="5"/>
    <x v="1"/>
    <x v="13"/>
    <n v="148"/>
    <n v="19"/>
    <n v="129"/>
    <n v="0"/>
    <s v="No"/>
    <x v="8"/>
  </r>
  <r>
    <s v="falls"/>
    <n v="4"/>
    <x v="0"/>
    <x v="16"/>
    <n v="148"/>
    <n v="51"/>
    <n v="97"/>
    <n v="0"/>
    <s v="No"/>
    <x v="8"/>
  </r>
  <r>
    <s v="alps"/>
    <n v="6"/>
    <x v="0"/>
    <x v="25"/>
    <n v="148"/>
    <n v="42"/>
    <n v="106"/>
    <n v="0"/>
    <s v="No"/>
    <x v="8"/>
  </r>
  <r>
    <s v="cockatoo"/>
    <n v="8"/>
    <x v="0"/>
    <x v="33"/>
    <n v="148"/>
    <n v="13"/>
    <n v="135"/>
    <n v="0"/>
    <s v="No"/>
    <x v="8"/>
  </r>
  <r>
    <s v="falls"/>
    <n v="5"/>
    <x v="0"/>
    <x v="12"/>
    <n v="149"/>
    <n v="41"/>
    <n v="108"/>
    <n v="0"/>
    <s v="No"/>
    <x v="8"/>
  </r>
  <r>
    <s v="falls"/>
    <n v="3"/>
    <x v="0"/>
    <x v="14"/>
    <n v="149"/>
    <n v="0"/>
    <n v="149"/>
    <n v="0.7"/>
    <s v="No"/>
    <x v="8"/>
  </r>
  <r>
    <s v="falls"/>
    <n v="2"/>
    <x v="0"/>
    <x v="10"/>
    <n v="150"/>
    <n v="150"/>
    <n v="0"/>
    <n v="0"/>
    <s v="No"/>
    <x v="8"/>
  </r>
  <r>
    <s v="quail"/>
    <n v="4"/>
    <x v="1"/>
    <x v="21"/>
    <n v="150"/>
    <n v="62"/>
    <n v="88"/>
    <n v="0"/>
    <s v="No"/>
    <x v="8"/>
  </r>
  <r>
    <s v="alps"/>
    <n v="5"/>
    <x v="1"/>
    <x v="23"/>
    <n v="150"/>
    <n v="69"/>
    <n v="81"/>
    <n v="0"/>
    <s v="No"/>
    <x v="8"/>
  </r>
  <r>
    <s v="cockatoo"/>
    <n v="11"/>
    <x v="1"/>
    <x v="31"/>
    <n v="150"/>
    <n v="33"/>
    <n v="117"/>
    <n v="0"/>
    <s v="No"/>
    <x v="8"/>
  </r>
  <r>
    <s v="falls"/>
    <n v="3"/>
    <x v="1"/>
    <x v="15"/>
    <n v="151"/>
    <n v="58"/>
    <n v="93"/>
    <n v="0"/>
    <s v="No"/>
    <x v="9"/>
  </r>
  <r>
    <s v="alps"/>
    <n v="5"/>
    <x v="1"/>
    <x v="23"/>
    <n v="152"/>
    <n v="88"/>
    <n v="64"/>
    <n v="0"/>
    <s v="No"/>
    <x v="9"/>
  </r>
  <r>
    <s v="alps"/>
    <n v="6"/>
    <x v="1"/>
    <x v="26"/>
    <n v="152"/>
    <n v="41"/>
    <n v="111"/>
    <n v="0"/>
    <s v="No"/>
    <x v="9"/>
  </r>
  <r>
    <s v="falls"/>
    <n v="2"/>
    <x v="0"/>
    <x v="10"/>
    <n v="153"/>
    <n v="153"/>
    <n v="0"/>
    <n v="0"/>
    <s v="No"/>
    <x v="9"/>
  </r>
  <r>
    <s v="falls"/>
    <n v="3"/>
    <x v="1"/>
    <x v="15"/>
    <n v="153"/>
    <n v="55"/>
    <n v="98"/>
    <n v="0"/>
    <s v="No"/>
    <x v="9"/>
  </r>
  <r>
    <s v="cockatoo"/>
    <n v="8"/>
    <x v="0"/>
    <x v="33"/>
    <n v="154"/>
    <n v="38"/>
    <n v="116"/>
    <n v="0"/>
    <s v="No"/>
    <x v="9"/>
  </r>
  <r>
    <s v="falls"/>
    <n v="4"/>
    <x v="0"/>
    <x v="16"/>
    <n v="156"/>
    <n v="35"/>
    <n v="121"/>
    <n v="0"/>
    <s v="No"/>
    <x v="9"/>
  </r>
  <r>
    <s v="alps"/>
    <n v="6"/>
    <x v="0"/>
    <x v="25"/>
    <n v="158"/>
    <n v="37"/>
    <n v="121"/>
    <n v="0"/>
    <s v="No"/>
    <x v="9"/>
  </r>
  <r>
    <s v="cockatoo"/>
    <n v="10"/>
    <x v="0"/>
    <x v="28"/>
    <n v="160"/>
    <n v="15"/>
    <n v="145"/>
    <n v="0"/>
    <s v="No"/>
    <x v="9"/>
  </r>
  <r>
    <s v="falls"/>
    <n v="4"/>
    <x v="1"/>
    <x v="17"/>
    <n v="162"/>
    <n v="80"/>
    <n v="82"/>
    <n v="0"/>
    <s v="No"/>
    <x v="9"/>
  </r>
  <r>
    <s v="cockatoo"/>
    <n v="8"/>
    <x v="0"/>
    <x v="33"/>
    <n v="162"/>
    <n v="16"/>
    <n v="146"/>
    <n v="0"/>
    <s v="No"/>
    <x v="9"/>
  </r>
  <r>
    <s v="cockatoo"/>
    <n v="11"/>
    <x v="0"/>
    <x v="30"/>
    <n v="162"/>
    <n v="56"/>
    <n v="106"/>
    <n v="0"/>
    <s v="No"/>
    <x v="9"/>
  </r>
  <r>
    <s v="cockatoo"/>
    <n v="11"/>
    <x v="1"/>
    <x v="31"/>
    <n v="162"/>
    <n v="72"/>
    <n v="90"/>
    <n v="0"/>
    <s v="No"/>
    <x v="9"/>
  </r>
  <r>
    <s v="alps"/>
    <n v="6"/>
    <x v="1"/>
    <x v="26"/>
    <n v="163"/>
    <n v="68"/>
    <n v="95"/>
    <n v="0"/>
    <s v="No"/>
    <x v="9"/>
  </r>
  <r>
    <s v="alps"/>
    <n v="6"/>
    <x v="1"/>
    <x v="26"/>
    <n v="165"/>
    <n v="0"/>
    <n v="165"/>
    <n v="13.1"/>
    <s v="Yes"/>
    <x v="9"/>
  </r>
  <r>
    <s v="falls"/>
    <n v="4"/>
    <x v="0"/>
    <x v="16"/>
    <n v="166"/>
    <n v="45"/>
    <n v="121"/>
    <n v="0"/>
    <s v="No"/>
    <x v="9"/>
  </r>
  <r>
    <s v="alps"/>
    <n v="6"/>
    <x v="1"/>
    <x v="26"/>
    <n v="166"/>
    <n v="83"/>
    <n v="83"/>
    <n v="0"/>
    <s v="No"/>
    <x v="9"/>
  </r>
  <r>
    <s v="falls"/>
    <n v="5"/>
    <x v="0"/>
    <x v="12"/>
    <n v="167"/>
    <n v="51"/>
    <n v="116"/>
    <n v="0"/>
    <s v="No"/>
    <x v="9"/>
  </r>
  <r>
    <s v="alps"/>
    <n v="6"/>
    <x v="1"/>
    <x v="26"/>
    <n v="169"/>
    <n v="34"/>
    <n v="135"/>
    <n v="0"/>
    <s v="No"/>
    <x v="9"/>
  </r>
  <r>
    <s v="cockatoo"/>
    <n v="11"/>
    <x v="1"/>
    <x v="31"/>
    <n v="170"/>
    <n v="30"/>
    <n v="140"/>
    <n v="0"/>
    <s v="No"/>
    <x v="9"/>
  </r>
  <r>
    <s v="alps"/>
    <n v="6"/>
    <x v="0"/>
    <x v="25"/>
    <n v="173"/>
    <n v="51"/>
    <n v="122"/>
    <n v="0"/>
    <s v="No"/>
    <x v="9"/>
  </r>
  <r>
    <s v="falls"/>
    <n v="3"/>
    <x v="1"/>
    <x v="15"/>
    <n v="174"/>
    <n v="83"/>
    <n v="91"/>
    <n v="0"/>
    <s v="No"/>
    <x v="9"/>
  </r>
  <r>
    <s v="falls"/>
    <n v="5"/>
    <x v="1"/>
    <x v="13"/>
    <n v="175"/>
    <n v="62"/>
    <n v="113"/>
    <n v="0"/>
    <s v="No"/>
    <x v="9"/>
  </r>
  <r>
    <s v="falls"/>
    <n v="4"/>
    <x v="0"/>
    <x v="16"/>
    <n v="175"/>
    <n v="74"/>
    <n v="101"/>
    <n v="0"/>
    <s v="No"/>
    <x v="9"/>
  </r>
  <r>
    <s v="cockatoo"/>
    <n v="11"/>
    <x v="0"/>
    <x v="30"/>
    <n v="176"/>
    <n v="85"/>
    <n v="91"/>
    <n v="0"/>
    <s v="No"/>
    <x v="9"/>
  </r>
  <r>
    <s v="falls"/>
    <n v="2"/>
    <x v="1"/>
    <x v="11"/>
    <n v="177"/>
    <n v="67"/>
    <n v="110"/>
    <n v="0"/>
    <s v="No"/>
    <x v="9"/>
  </r>
  <r>
    <s v="alps"/>
    <n v="5"/>
    <x v="1"/>
    <x v="23"/>
    <n v="177"/>
    <n v="74"/>
    <n v="103"/>
    <n v="0"/>
    <s v="No"/>
    <x v="9"/>
  </r>
  <r>
    <s v="falls"/>
    <n v="4"/>
    <x v="0"/>
    <x v="16"/>
    <n v="178"/>
    <n v="68"/>
    <n v="110"/>
    <n v="0"/>
    <s v="No"/>
    <x v="9"/>
  </r>
  <r>
    <s v="cockatoo"/>
    <n v="11"/>
    <x v="0"/>
    <x v="30"/>
    <n v="178"/>
    <n v="72"/>
    <n v="106"/>
    <n v="0"/>
    <s v="No"/>
    <x v="9"/>
  </r>
  <r>
    <s v="falls"/>
    <n v="5"/>
    <x v="0"/>
    <x v="12"/>
    <n v="179"/>
    <n v="32"/>
    <n v="147"/>
    <n v="0"/>
    <s v="No"/>
    <x v="9"/>
  </r>
  <r>
    <s v="alps"/>
    <n v="1"/>
    <x v="1"/>
    <x v="24"/>
    <n v="184"/>
    <n v="36"/>
    <n v="148"/>
    <n v="0"/>
    <s v="No"/>
    <x v="9"/>
  </r>
  <r>
    <s v="falls"/>
    <n v="4"/>
    <x v="1"/>
    <x v="17"/>
    <n v="185"/>
    <n v="117"/>
    <n v="68"/>
    <n v="0"/>
    <s v="No"/>
    <x v="9"/>
  </r>
  <r>
    <s v="falls"/>
    <n v="3"/>
    <x v="0"/>
    <x v="14"/>
    <n v="190"/>
    <n v="67"/>
    <n v="123"/>
    <n v="0"/>
    <s v="No"/>
    <x v="9"/>
  </r>
  <r>
    <s v="falls"/>
    <n v="4"/>
    <x v="1"/>
    <x v="17"/>
    <n v="190"/>
    <n v="80"/>
    <n v="110"/>
    <n v="0"/>
    <s v="No"/>
    <x v="9"/>
  </r>
  <r>
    <s v="quail"/>
    <n v="1"/>
    <x v="0"/>
    <x v="18"/>
    <n v="198"/>
    <n v="87"/>
    <n v="111"/>
    <n v="0"/>
    <s v="No"/>
    <x v="9"/>
  </r>
  <r>
    <s v="alps"/>
    <n v="1"/>
    <x v="0"/>
    <x v="32"/>
    <n v="205"/>
    <n v="113"/>
    <n v="92"/>
    <n v="0"/>
    <s v="No"/>
    <x v="9"/>
  </r>
  <r>
    <s v="alps"/>
    <n v="5"/>
    <x v="1"/>
    <x v="23"/>
    <n v="210"/>
    <n v="100"/>
    <n v="110"/>
    <n v="0"/>
    <s v="No"/>
    <x v="9"/>
  </r>
  <r>
    <s v="falls"/>
    <n v="4"/>
    <x v="1"/>
    <x v="17"/>
    <n v="213"/>
    <n v="105"/>
    <n v="108"/>
    <n v="0"/>
    <s v="No"/>
    <x v="9"/>
  </r>
  <r>
    <s v="falls"/>
    <n v="1"/>
    <x v="1"/>
    <x v="9"/>
    <n v="235"/>
    <n v="109"/>
    <n v="126"/>
    <n v="0"/>
    <s v="No"/>
    <x v="9"/>
  </r>
  <r>
    <s v="falls"/>
    <n v="3"/>
    <x v="0"/>
    <x v="14"/>
    <n v="235"/>
    <n v="100"/>
    <n v="135"/>
    <n v="0"/>
    <s v="No"/>
    <x v="9"/>
  </r>
  <r>
    <s v="falls"/>
    <n v="2"/>
    <x v="1"/>
    <x v="11"/>
    <n v="238"/>
    <n v="122"/>
    <n v="116"/>
    <n v="0"/>
    <s v="No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C0B1E-6A20-408E-A7A3-5DDAB07911B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X22:BG46" firstHeaderRow="1" firstDataRow="2" firstDataCol="1"/>
  <pivotFields count="10">
    <pivotField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35">
        <item x="32"/>
        <item x="24"/>
        <item x="22"/>
        <item x="23"/>
        <item x="25"/>
        <item x="26"/>
        <item x="28"/>
        <item x="29"/>
        <item x="33"/>
        <item x="27"/>
        <item x="30"/>
        <item x="31"/>
        <item x="8"/>
        <item x="13"/>
        <item x="9"/>
        <item x="10"/>
        <item x="11"/>
        <item x="14"/>
        <item x="15"/>
        <item x="16"/>
        <item x="17"/>
        <item x="12"/>
        <item x="18"/>
        <item x="19"/>
        <item x="20"/>
        <item x="21"/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showAll="0"/>
    <pivotField showAll="0"/>
    <pivotField showAll="0"/>
    <pivotField showAll="0"/>
    <pivotField axis="axisRow" showAll="0">
      <items count="11">
        <item x="0"/>
        <item x="8"/>
        <item x="9"/>
        <item x="3"/>
        <item x="4"/>
        <item x="5"/>
        <item x="6"/>
        <item x="7"/>
        <item x="1"/>
        <item x="2"/>
        <item t="default"/>
      </items>
    </pivotField>
  </pivotFields>
  <rowFields count="2">
    <field x="2"/>
    <field x="9"/>
  </rowFields>
  <rowItems count="2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3"/>
  </colFields>
  <col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colItems>
  <dataFields count="1">
    <dataField name="Count of height" fld="4" subtotal="count" baseField="9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FB8B7-CF6C-49F3-91B1-C8AEB62C0353}">
  <dimension ref="A1:AF50"/>
  <sheetViews>
    <sheetView tabSelected="1" topLeftCell="O1" workbookViewId="0">
      <selection activeCell="Z21" sqref="Z21"/>
    </sheetView>
  </sheetViews>
  <sheetFormatPr defaultRowHeight="15" x14ac:dyDescent="0.25"/>
  <cols>
    <col min="1" max="1" width="14.140625" customWidth="1"/>
    <col min="16" max="16" width="11.5703125" bestFit="1" customWidth="1"/>
    <col min="25" max="25" width="11.85546875" bestFit="1" customWidth="1"/>
    <col min="26" max="26" width="23.5703125" bestFit="1" customWidth="1"/>
  </cols>
  <sheetData>
    <row r="1" spans="1:32" x14ac:dyDescent="0.25">
      <c r="A1" s="1" t="s">
        <v>9</v>
      </c>
      <c r="E1" s="32" t="s">
        <v>134</v>
      </c>
    </row>
    <row r="3" spans="1:32" x14ac:dyDescent="0.25">
      <c r="B3" s="1" t="s">
        <v>4</v>
      </c>
      <c r="F3" s="1" t="s">
        <v>5</v>
      </c>
      <c r="I3" s="1" t="s">
        <v>6</v>
      </c>
      <c r="P3" t="s">
        <v>112</v>
      </c>
      <c r="Q3" t="s">
        <v>113</v>
      </c>
      <c r="R3" t="s">
        <v>8</v>
      </c>
    </row>
    <row r="4" spans="1:32" x14ac:dyDescent="0.25">
      <c r="B4" t="s">
        <v>2</v>
      </c>
      <c r="C4" t="s">
        <v>3</v>
      </c>
      <c r="D4" s="3" t="s">
        <v>10</v>
      </c>
      <c r="E4" s="3"/>
      <c r="F4" t="s">
        <v>2</v>
      </c>
      <c r="G4" t="s">
        <v>3</v>
      </c>
      <c r="I4" t="s">
        <v>2</v>
      </c>
      <c r="J4" t="s">
        <v>3</v>
      </c>
      <c r="L4" s="1" t="s">
        <v>7</v>
      </c>
      <c r="M4" s="1" t="s">
        <v>8</v>
      </c>
      <c r="P4" s="7" t="s">
        <v>114</v>
      </c>
      <c r="Q4" s="7">
        <f>SUM(L5:L6)</f>
        <v>5.9849154269516269</v>
      </c>
      <c r="R4" s="7">
        <f>CHIDIST(Q4,1)</f>
        <v>1.4428734443336073E-2</v>
      </c>
    </row>
    <row r="5" spans="1:32" x14ac:dyDescent="0.25">
      <c r="A5" t="s">
        <v>0</v>
      </c>
      <c r="B5">
        <v>125</v>
      </c>
      <c r="C5">
        <v>53</v>
      </c>
      <c r="D5" s="3">
        <f>SUM(B5:C5)</f>
        <v>178</v>
      </c>
      <c r="F5" s="6">
        <f>($D5/$D$7)*B$7</f>
        <v>111.13471502590673</v>
      </c>
      <c r="G5" s="6">
        <f>($D5/$D$7)*C$7</f>
        <v>66.865284974093257</v>
      </c>
      <c r="I5">
        <f>((B5-F5)^2/F5)</f>
        <v>1.7298476661230646</v>
      </c>
      <c r="J5">
        <f>((C5-G5)^2/G5)</f>
        <v>2.8751261209355707</v>
      </c>
      <c r="L5">
        <f>SUM(I5:J5)</f>
        <v>4.6049737870586354</v>
      </c>
      <c r="M5">
        <f>CHIDIST(L5,1)</f>
        <v>3.1879340646966556E-2</v>
      </c>
      <c r="N5" t="s">
        <v>15</v>
      </c>
      <c r="O5" t="s">
        <v>16</v>
      </c>
      <c r="R5" t="s">
        <v>15</v>
      </c>
      <c r="S5" t="s">
        <v>16</v>
      </c>
      <c r="Y5" t="s">
        <v>169</v>
      </c>
      <c r="Z5" t="s">
        <v>174</v>
      </c>
      <c r="AA5" t="s">
        <v>172</v>
      </c>
      <c r="AB5" t="s">
        <v>173</v>
      </c>
      <c r="AD5" s="1" t="s">
        <v>6</v>
      </c>
      <c r="AF5" s="1" t="s">
        <v>8</v>
      </c>
    </row>
    <row r="6" spans="1:32" x14ac:dyDescent="0.25">
      <c r="A6" t="s">
        <v>1</v>
      </c>
      <c r="B6">
        <v>357</v>
      </c>
      <c r="C6">
        <v>237</v>
      </c>
      <c r="D6" s="3">
        <f t="shared" ref="D6" si="0">SUM(B6:C6)</f>
        <v>594</v>
      </c>
      <c r="F6" s="6">
        <f>($D6/$D$7)*B$7</f>
        <v>370.86528497409324</v>
      </c>
      <c r="G6" s="6">
        <f>($D6/$D$7)*C$7</f>
        <v>223.13471502590673</v>
      </c>
      <c r="I6">
        <f>((B6-F6)^2/F6)</f>
        <v>0.5183718595452933</v>
      </c>
      <c r="J6">
        <f>((C6-G6)^2/G6)</f>
        <v>0.86156978034769793</v>
      </c>
      <c r="L6">
        <f>SUM(I6:J6)</f>
        <v>1.3799416398929911</v>
      </c>
      <c r="M6">
        <f>CHIDIST(L6,1)</f>
        <v>0.24011108843136322</v>
      </c>
      <c r="Y6" t="s">
        <v>2</v>
      </c>
      <c r="Z6">
        <f>1/3</f>
        <v>0.33333333333333331</v>
      </c>
      <c r="AA6">
        <v>7</v>
      </c>
      <c r="AB6">
        <f>Z6*AA9</f>
        <v>5.333333333333333</v>
      </c>
      <c r="AD6">
        <f>(AB6-AA6)^2/AB6</f>
        <v>0.52083333333333348</v>
      </c>
      <c r="AF6">
        <f>CHIDIST(AD6,1)</f>
        <v>0.47048642205878966</v>
      </c>
    </row>
    <row r="7" spans="1:32" x14ac:dyDescent="0.25">
      <c r="A7" s="3" t="s">
        <v>10</v>
      </c>
      <c r="B7" s="3">
        <f>SUM(B5:B6)</f>
        <v>482</v>
      </c>
      <c r="C7" s="3">
        <f>SUM(C5:C6)</f>
        <v>290</v>
      </c>
      <c r="D7" s="3">
        <f>SUM(B7:C7)</f>
        <v>772</v>
      </c>
      <c r="P7" s="17" t="s">
        <v>168</v>
      </c>
      <c r="Y7" t="s">
        <v>170</v>
      </c>
      <c r="Z7">
        <f>1/3</f>
        <v>0.33333333333333331</v>
      </c>
      <c r="AA7">
        <v>2</v>
      </c>
      <c r="AB7">
        <f>Z7*AA9</f>
        <v>5.333333333333333</v>
      </c>
      <c r="AD7">
        <f t="shared" ref="AD7:AD8" si="1">(AB7-AA7)^2/AB7</f>
        <v>2.083333333333333</v>
      </c>
      <c r="AF7">
        <f t="shared" ref="AF7:AF9" si="2">CHIDIST(AD7,1)</f>
        <v>0.14891467317876578</v>
      </c>
    </row>
    <row r="8" spans="1:32" x14ac:dyDescent="0.25">
      <c r="A8" s="2" t="s">
        <v>11</v>
      </c>
      <c r="B8" s="2">
        <v>17</v>
      </c>
      <c r="C8" s="2">
        <v>19</v>
      </c>
      <c r="Y8" t="s">
        <v>171</v>
      </c>
      <c r="Z8">
        <f>1/3</f>
        <v>0.33333333333333331</v>
      </c>
      <c r="AA8">
        <v>7</v>
      </c>
      <c r="AB8">
        <f>Z8*AA9</f>
        <v>5.333333333333333</v>
      </c>
      <c r="AD8">
        <f t="shared" si="1"/>
        <v>0.52083333333333348</v>
      </c>
      <c r="AF8">
        <f t="shared" si="2"/>
        <v>0.47048642205878966</v>
      </c>
    </row>
    <row r="9" spans="1:32" x14ac:dyDescent="0.25">
      <c r="B9" s="5" t="s">
        <v>14</v>
      </c>
      <c r="AA9">
        <f>SUM(AA6:AA8)</f>
        <v>16</v>
      </c>
      <c r="AC9" t="s">
        <v>175</v>
      </c>
      <c r="AD9" s="1">
        <f>SUM(AD6:AD8)</f>
        <v>3.125</v>
      </c>
      <c r="AE9" t="s">
        <v>176</v>
      </c>
      <c r="AF9" s="1">
        <f t="shared" si="2"/>
        <v>7.709987174354177E-2</v>
      </c>
    </row>
    <row r="11" spans="1:32" x14ac:dyDescent="0.25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5"/>
    </row>
    <row r="12" spans="1:32" x14ac:dyDescent="0.25">
      <c r="A12" s="26"/>
      <c r="B12" s="1" t="s">
        <v>4</v>
      </c>
      <c r="F12" s="1" t="s">
        <v>5</v>
      </c>
      <c r="I12" s="1" t="s">
        <v>6</v>
      </c>
      <c r="P12" t="s">
        <v>112</v>
      </c>
      <c r="Q12" t="s">
        <v>113</v>
      </c>
      <c r="R12" t="s">
        <v>8</v>
      </c>
      <c r="V12" s="27"/>
    </row>
    <row r="13" spans="1:32" x14ac:dyDescent="0.25">
      <c r="A13" s="26"/>
      <c r="B13" t="s">
        <v>2</v>
      </c>
      <c r="C13" t="s">
        <v>3</v>
      </c>
      <c r="D13" s="3" t="s">
        <v>10</v>
      </c>
      <c r="F13" t="s">
        <v>0</v>
      </c>
      <c r="G13" t="s">
        <v>1</v>
      </c>
      <c r="I13" t="s">
        <v>0</v>
      </c>
      <c r="J13" t="s">
        <v>1</v>
      </c>
      <c r="L13" s="1" t="s">
        <v>7</v>
      </c>
      <c r="M13" s="1" t="s">
        <v>8</v>
      </c>
      <c r="P13" s="7" t="s">
        <v>115</v>
      </c>
      <c r="Q13" s="7">
        <f>SUM(L14:L15)</f>
        <v>3.0961002875690777</v>
      </c>
      <c r="R13" s="7">
        <f>CHIDIST(Q13,1)</f>
        <v>7.8480081145128444E-2</v>
      </c>
      <c r="V13" s="27"/>
    </row>
    <row r="14" spans="1:32" x14ac:dyDescent="0.25">
      <c r="A14" s="26" t="s">
        <v>0</v>
      </c>
      <c r="B14">
        <v>125</v>
      </c>
      <c r="C14">
        <v>48</v>
      </c>
      <c r="D14" s="3">
        <f>SUM(B14:C14)</f>
        <v>173</v>
      </c>
      <c r="F14" s="6">
        <f>($D14/$D$16)*B$16</f>
        <v>115.49307479224376</v>
      </c>
      <c r="G14" s="6">
        <f>($D14/$D$16)*C$16</f>
        <v>57.506925207756233</v>
      </c>
      <c r="I14">
        <f>((B14-F14)^2/F14)</f>
        <v>0.78257183011583331</v>
      </c>
      <c r="J14">
        <f>((C14-G14)^2/G14)</f>
        <v>1.5716650921492963</v>
      </c>
      <c r="L14">
        <f>SUM(I14:J14)</f>
        <v>2.3542369222651294</v>
      </c>
      <c r="M14">
        <f>CHIDIST(L14,1)</f>
        <v>0.12494301035243566</v>
      </c>
      <c r="R14" t="s">
        <v>137</v>
      </c>
      <c r="V14" s="27"/>
    </row>
    <row r="15" spans="1:32" x14ac:dyDescent="0.25">
      <c r="A15" s="26" t="s">
        <v>1</v>
      </c>
      <c r="B15">
        <v>357</v>
      </c>
      <c r="C15">
        <v>192</v>
      </c>
      <c r="D15" s="3">
        <f>SUM(B15:C15)</f>
        <v>549</v>
      </c>
      <c r="F15" s="6">
        <f>($D15/$D$16)*B$16</f>
        <v>366.50692520775624</v>
      </c>
      <c r="G15" s="6">
        <f>($D15/$D$16)*C$16</f>
        <v>182.49307479224376</v>
      </c>
      <c r="I15">
        <f>((B15-F15)^2/F15)</f>
        <v>0.24660278071045383</v>
      </c>
      <c r="J15">
        <f>((C15-G15)^2/G15)</f>
        <v>0.49526058459349481</v>
      </c>
      <c r="L15">
        <f>SUM(I15:J15)</f>
        <v>0.74186336530394859</v>
      </c>
      <c r="M15">
        <f>CHIDIST(L15,1)</f>
        <v>0.38906462884392218</v>
      </c>
      <c r="V15" s="27"/>
    </row>
    <row r="16" spans="1:32" x14ac:dyDescent="0.25">
      <c r="A16" s="28" t="s">
        <v>10</v>
      </c>
      <c r="B16" s="3">
        <f>SUM(B14:B15)</f>
        <v>482</v>
      </c>
      <c r="C16" s="3">
        <f>SUM(C14:C15)</f>
        <v>240</v>
      </c>
      <c r="D16" s="3">
        <f>SUM(B16:C16)</f>
        <v>722</v>
      </c>
      <c r="P16" s="17" t="s">
        <v>165</v>
      </c>
      <c r="V16" s="27"/>
    </row>
    <row r="17" spans="1:22" x14ac:dyDescent="0.25">
      <c r="A17" s="29" t="s">
        <v>11</v>
      </c>
      <c r="B17" s="2">
        <v>17</v>
      </c>
      <c r="C17" s="2">
        <v>17</v>
      </c>
      <c r="P17" s="17" t="s">
        <v>167</v>
      </c>
      <c r="V17" s="27"/>
    </row>
    <row r="18" spans="1:22" x14ac:dyDescent="0.25">
      <c r="A18" s="9"/>
      <c r="B18" s="30" t="s">
        <v>13</v>
      </c>
      <c r="C18" s="30" t="s">
        <v>12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31"/>
    </row>
    <row r="19" spans="1:22" x14ac:dyDescent="0.25">
      <c r="B19" s="4"/>
      <c r="C19" s="4"/>
    </row>
    <row r="21" spans="1:22" x14ac:dyDescent="0.25">
      <c r="A21" s="1" t="s">
        <v>19</v>
      </c>
      <c r="B21" s="4"/>
      <c r="C21" s="4"/>
      <c r="E21" s="32" t="s">
        <v>135</v>
      </c>
    </row>
    <row r="23" spans="1:22" x14ac:dyDescent="0.25">
      <c r="P23" t="s">
        <v>112</v>
      </c>
      <c r="Q23" t="s">
        <v>113</v>
      </c>
      <c r="R23" t="s">
        <v>8</v>
      </c>
    </row>
    <row r="24" spans="1:22" x14ac:dyDescent="0.25">
      <c r="A24" t="s">
        <v>104</v>
      </c>
      <c r="B24" t="s">
        <v>2</v>
      </c>
      <c r="C24" t="s">
        <v>3</v>
      </c>
      <c r="D24" s="3" t="s">
        <v>10</v>
      </c>
      <c r="F24" t="s">
        <v>2</v>
      </c>
      <c r="G24" t="s">
        <v>3</v>
      </c>
      <c r="I24" t="s">
        <v>2</v>
      </c>
      <c r="J24" t="s">
        <v>3</v>
      </c>
      <c r="L24" s="1" t="s">
        <v>7</v>
      </c>
      <c r="M24" s="1" t="s">
        <v>8</v>
      </c>
      <c r="P24" s="7" t="s">
        <v>116</v>
      </c>
      <c r="Q24" s="7">
        <f>SUM(L25:L34)</f>
        <v>23.054115665686229</v>
      </c>
      <c r="R24" s="7">
        <f>CHIDIST(Q24,9)</f>
        <v>6.0759185381451947E-3</v>
      </c>
    </row>
    <row r="25" spans="1:22" x14ac:dyDescent="0.25">
      <c r="A25" s="11">
        <v>0</v>
      </c>
      <c r="B25" s="14">
        <v>314</v>
      </c>
      <c r="C25" s="14">
        <v>250</v>
      </c>
      <c r="D25" s="3">
        <f>SUM(B25:C25)</f>
        <v>564</v>
      </c>
      <c r="F25" s="6">
        <f>($D25/$D$35)*B$35</f>
        <v>338.68923076923079</v>
      </c>
      <c r="G25" s="6">
        <f>($D25/$D$35)*C$35</f>
        <v>225.31076923076924</v>
      </c>
      <c r="I25">
        <f>((B25-F25)^2/F25)</f>
        <v>1.7997564156141141</v>
      </c>
      <c r="J25">
        <f>((C25-G25)^2/G25)</f>
        <v>2.7054104784135085</v>
      </c>
      <c r="L25">
        <f>SUM(I25:J25)</f>
        <v>4.5051668940276226</v>
      </c>
      <c r="M25">
        <f>CHIDIST(L25,1)</f>
        <v>3.3792598335977392E-2</v>
      </c>
      <c r="N25" t="s">
        <v>15</v>
      </c>
      <c r="O25" t="s">
        <v>16</v>
      </c>
      <c r="R25" t="s">
        <v>17</v>
      </c>
      <c r="S25" t="s">
        <v>16</v>
      </c>
    </row>
    <row r="26" spans="1:22" x14ac:dyDescent="0.25">
      <c r="A26" s="11" t="s">
        <v>150</v>
      </c>
      <c r="B26" s="14">
        <v>177</v>
      </c>
      <c r="C26" s="14">
        <v>139</v>
      </c>
      <c r="D26" s="3">
        <f t="shared" ref="D26:D34" si="3">SUM(B26:C26)</f>
        <v>316</v>
      </c>
      <c r="F26" s="6">
        <f t="shared" ref="F26:F34" si="4">($D26/$D$35)*B$35</f>
        <v>189.76205128205129</v>
      </c>
      <c r="G26" s="6">
        <f t="shared" ref="G26:G34" si="5">($D26/$D$35)*C$35</f>
        <v>126.23794871794873</v>
      </c>
      <c r="I26">
        <f>((B26-F26)^2/F26)</f>
        <v>0.8582851619980989</v>
      </c>
      <c r="J26">
        <f>((C26-G26)^2/G26)</f>
        <v>1.2901821883180635</v>
      </c>
      <c r="L26">
        <f t="shared" ref="L26:L34" si="6">SUM(I26:J26)</f>
        <v>2.1484673503161624</v>
      </c>
      <c r="M26">
        <f t="shared" ref="M26:M34" si="7">CHIDIST(L26,1)</f>
        <v>0.14271228991621859</v>
      </c>
    </row>
    <row r="27" spans="1:22" x14ac:dyDescent="0.25">
      <c r="A27" s="11" t="s">
        <v>151</v>
      </c>
      <c r="B27" s="14">
        <v>142</v>
      </c>
      <c r="C27" s="14">
        <v>91</v>
      </c>
      <c r="D27" s="3">
        <f t="shared" si="3"/>
        <v>233</v>
      </c>
      <c r="F27" s="6">
        <f t="shared" si="4"/>
        <v>139.91948717948719</v>
      </c>
      <c r="G27" s="6">
        <f t="shared" si="5"/>
        <v>93.080512820512823</v>
      </c>
      <c r="I27">
        <f t="shared" ref="I27:I34" si="8">((B27-F27)^2/F27)</f>
        <v>3.0935888085164051E-2</v>
      </c>
      <c r="J27">
        <f t="shared" ref="J27:J34" si="9">((C27-G27)^2/G27)</f>
        <v>4.6503112898238254E-2</v>
      </c>
      <c r="L27">
        <f t="shared" si="6"/>
        <v>7.7439000983402312E-2</v>
      </c>
      <c r="M27">
        <f t="shared" si="7"/>
        <v>0.78079847229020849</v>
      </c>
    </row>
    <row r="28" spans="1:22" x14ac:dyDescent="0.25">
      <c r="A28" s="11" t="s">
        <v>97</v>
      </c>
      <c r="B28" s="14">
        <v>81</v>
      </c>
      <c r="C28" s="14">
        <v>43</v>
      </c>
      <c r="D28" s="3">
        <f t="shared" si="3"/>
        <v>124</v>
      </c>
      <c r="F28" s="6">
        <f t="shared" si="4"/>
        <v>74.46358974358975</v>
      </c>
      <c r="G28" s="6">
        <f t="shared" si="5"/>
        <v>49.536410256410257</v>
      </c>
      <c r="I28">
        <f t="shared" si="8"/>
        <v>0.57376577179833155</v>
      </c>
      <c r="J28">
        <f t="shared" si="9"/>
        <v>0.86249001126552993</v>
      </c>
      <c r="L28">
        <f t="shared" si="6"/>
        <v>1.4362557830638614</v>
      </c>
      <c r="M28">
        <f t="shared" si="7"/>
        <v>0.23074619840562616</v>
      </c>
    </row>
    <row r="29" spans="1:22" x14ac:dyDescent="0.25">
      <c r="A29" s="11" t="s">
        <v>98</v>
      </c>
      <c r="B29" s="14">
        <v>58</v>
      </c>
      <c r="C29" s="14">
        <v>43</v>
      </c>
      <c r="D29" s="3">
        <f t="shared" si="3"/>
        <v>101</v>
      </c>
      <c r="F29" s="6">
        <f t="shared" si="4"/>
        <v>60.65179487179487</v>
      </c>
      <c r="G29" s="6">
        <f t="shared" si="5"/>
        <v>40.348205128205123</v>
      </c>
      <c r="I29">
        <f t="shared" si="8"/>
        <v>0.1159407740025134</v>
      </c>
      <c r="J29">
        <f t="shared" si="9"/>
        <v>0.17428324307694984</v>
      </c>
      <c r="L29">
        <f t="shared" si="6"/>
        <v>0.29022401707946321</v>
      </c>
      <c r="M29">
        <f t="shared" si="7"/>
        <v>0.59007701063613127</v>
      </c>
    </row>
    <row r="30" spans="1:22" x14ac:dyDescent="0.25">
      <c r="A30" s="11" t="s">
        <v>99</v>
      </c>
      <c r="B30" s="14">
        <v>61</v>
      </c>
      <c r="C30" s="14">
        <v>45</v>
      </c>
      <c r="D30" s="3">
        <f t="shared" si="3"/>
        <v>106</v>
      </c>
      <c r="F30" s="6">
        <f t="shared" si="4"/>
        <v>63.654358974358978</v>
      </c>
      <c r="G30" s="6">
        <f t="shared" si="5"/>
        <v>42.345641025641029</v>
      </c>
      <c r="I30">
        <f t="shared" si="8"/>
        <v>0.11068561019675237</v>
      </c>
      <c r="J30">
        <f t="shared" si="9"/>
        <v>0.16638363227265254</v>
      </c>
      <c r="L30">
        <f t="shared" si="6"/>
        <v>0.2770692424694049</v>
      </c>
      <c r="M30">
        <f t="shared" si="7"/>
        <v>0.59862860476610269</v>
      </c>
    </row>
    <row r="31" spans="1:22" x14ac:dyDescent="0.25">
      <c r="A31" s="11" t="s">
        <v>100</v>
      </c>
      <c r="B31" s="14">
        <v>146</v>
      </c>
      <c r="C31" s="14">
        <v>70</v>
      </c>
      <c r="D31" s="3">
        <f t="shared" si="3"/>
        <v>216</v>
      </c>
      <c r="F31" s="6">
        <f t="shared" si="4"/>
        <v>129.71076923076924</v>
      </c>
      <c r="G31" s="6">
        <f t="shared" si="5"/>
        <v>86.28923076923077</v>
      </c>
      <c r="I31">
        <f t="shared" si="8"/>
        <v>2.0456207347069824</v>
      </c>
      <c r="J31">
        <f t="shared" si="9"/>
        <v>3.0749959953040826</v>
      </c>
      <c r="L31">
        <f t="shared" si="6"/>
        <v>5.120616730011065</v>
      </c>
      <c r="M31">
        <f t="shared" si="7"/>
        <v>2.3643212457694469E-2</v>
      </c>
      <c r="N31" t="s">
        <v>15</v>
      </c>
      <c r="O31" t="s">
        <v>16</v>
      </c>
    </row>
    <row r="32" spans="1:22" x14ac:dyDescent="0.25">
      <c r="A32" s="11" t="s">
        <v>101</v>
      </c>
      <c r="B32" s="14">
        <v>88</v>
      </c>
      <c r="C32" s="14">
        <v>34</v>
      </c>
      <c r="D32" s="3">
        <f t="shared" si="3"/>
        <v>122</v>
      </c>
      <c r="F32" s="6">
        <f t="shared" si="4"/>
        <v>73.262564102564099</v>
      </c>
      <c r="G32" s="6">
        <f t="shared" si="5"/>
        <v>48.737435897435901</v>
      </c>
      <c r="I32">
        <f t="shared" si="8"/>
        <v>2.9645702343556235</v>
      </c>
      <c r="J32">
        <f t="shared" si="9"/>
        <v>4.4563693766757826</v>
      </c>
      <c r="L32">
        <f t="shared" si="6"/>
        <v>7.4209396110314056</v>
      </c>
      <c r="M32">
        <f t="shared" si="7"/>
        <v>6.4469140553861841E-3</v>
      </c>
      <c r="N32" t="s">
        <v>17</v>
      </c>
      <c r="O32" t="s">
        <v>18</v>
      </c>
    </row>
    <row r="33" spans="1:13" x14ac:dyDescent="0.25">
      <c r="A33" s="11" t="s">
        <v>102</v>
      </c>
      <c r="B33" s="14">
        <v>82</v>
      </c>
      <c r="C33" s="14">
        <v>45</v>
      </c>
      <c r="D33" s="3">
        <f t="shared" si="3"/>
        <v>127</v>
      </c>
      <c r="F33" s="6">
        <f t="shared" si="4"/>
        <v>76.265128205128192</v>
      </c>
      <c r="G33" s="6">
        <f t="shared" si="5"/>
        <v>50.734871794871786</v>
      </c>
      <c r="I33">
        <f t="shared" si="8"/>
        <v>0.43124236827028228</v>
      </c>
      <c r="J33">
        <f t="shared" si="9"/>
        <v>0.64824751379267886</v>
      </c>
      <c r="L33">
        <f t="shared" si="6"/>
        <v>1.079489882062961</v>
      </c>
      <c r="M33">
        <f t="shared" si="7"/>
        <v>0.29881170087686426</v>
      </c>
    </row>
    <row r="34" spans="1:13" x14ac:dyDescent="0.25">
      <c r="A34" s="11" t="s">
        <v>103</v>
      </c>
      <c r="B34" s="14">
        <v>22</v>
      </c>
      <c r="C34" s="14">
        <v>19</v>
      </c>
      <c r="D34" s="3">
        <f t="shared" si="3"/>
        <v>41</v>
      </c>
      <c r="F34" s="6">
        <f t="shared" si="4"/>
        <v>24.621025641025639</v>
      </c>
      <c r="G34" s="6">
        <f t="shared" si="5"/>
        <v>16.378974358974357</v>
      </c>
      <c r="I34">
        <f t="shared" si="8"/>
        <v>0.27902068382833167</v>
      </c>
      <c r="J34">
        <f t="shared" si="9"/>
        <v>0.41942647081255113</v>
      </c>
      <c r="L34">
        <f t="shared" si="6"/>
        <v>0.69844715464088281</v>
      </c>
      <c r="M34">
        <f t="shared" si="7"/>
        <v>0.40330596520937756</v>
      </c>
    </row>
    <row r="35" spans="1:13" x14ac:dyDescent="0.25">
      <c r="A35" s="3" t="s">
        <v>10</v>
      </c>
      <c r="B35" s="3">
        <f>SUM(B25:B34)</f>
        <v>1171</v>
      </c>
      <c r="C35" s="3">
        <f>SUM(C25:C34)</f>
        <v>779</v>
      </c>
      <c r="D35" s="3">
        <f>SUM(D25:D34)</f>
        <v>1950</v>
      </c>
    </row>
    <row r="36" spans="1:13" x14ac:dyDescent="0.25">
      <c r="A36" s="2" t="s">
        <v>11</v>
      </c>
      <c r="B36" s="2">
        <v>17</v>
      </c>
      <c r="C36" s="2">
        <v>17</v>
      </c>
    </row>
    <row r="37" spans="1:13" x14ac:dyDescent="0.25">
      <c r="B37" s="4" t="s">
        <v>110</v>
      </c>
      <c r="C37" s="4" t="s">
        <v>111</v>
      </c>
    </row>
    <row r="40" spans="1:13" x14ac:dyDescent="0.25">
      <c r="A40" t="s">
        <v>104</v>
      </c>
      <c r="B40" t="s">
        <v>2</v>
      </c>
      <c r="C40" t="s">
        <v>3</v>
      </c>
      <c r="D40" t="s">
        <v>166</v>
      </c>
    </row>
    <row r="41" spans="1:13" x14ac:dyDescent="0.25">
      <c r="A41" s="11">
        <v>0</v>
      </c>
      <c r="B41" s="14">
        <v>314</v>
      </c>
      <c r="C41" s="14">
        <v>250</v>
      </c>
      <c r="D41" s="2">
        <f>(B41-C41)/B41</f>
        <v>0.20382165605095542</v>
      </c>
    </row>
    <row r="42" spans="1:13" x14ac:dyDescent="0.25">
      <c r="A42" s="11" t="s">
        <v>150</v>
      </c>
      <c r="B42" s="14">
        <v>177</v>
      </c>
      <c r="C42" s="14">
        <v>139</v>
      </c>
      <c r="D42" s="2">
        <f t="shared" ref="D42:D50" si="10">(B42-C42)/B42</f>
        <v>0.21468926553672316</v>
      </c>
    </row>
    <row r="43" spans="1:13" x14ac:dyDescent="0.25">
      <c r="A43" s="11" t="s">
        <v>151</v>
      </c>
      <c r="B43" s="14">
        <v>142</v>
      </c>
      <c r="C43" s="14">
        <v>91</v>
      </c>
      <c r="D43">
        <f t="shared" si="10"/>
        <v>0.35915492957746481</v>
      </c>
    </row>
    <row r="44" spans="1:13" x14ac:dyDescent="0.25">
      <c r="A44" s="11" t="s">
        <v>97</v>
      </c>
      <c r="B44" s="14">
        <v>81</v>
      </c>
      <c r="C44" s="14">
        <v>43</v>
      </c>
      <c r="D44">
        <f t="shared" si="10"/>
        <v>0.46913580246913578</v>
      </c>
    </row>
    <row r="45" spans="1:13" x14ac:dyDescent="0.25">
      <c r="A45" s="11" t="s">
        <v>98</v>
      </c>
      <c r="B45" s="14">
        <v>58</v>
      </c>
      <c r="C45" s="14">
        <v>43</v>
      </c>
      <c r="D45">
        <f t="shared" si="10"/>
        <v>0.25862068965517243</v>
      </c>
    </row>
    <row r="46" spans="1:13" x14ac:dyDescent="0.25">
      <c r="A46" s="11" t="s">
        <v>99</v>
      </c>
      <c r="B46" s="14">
        <v>61</v>
      </c>
      <c r="C46" s="14">
        <v>45</v>
      </c>
      <c r="D46">
        <f t="shared" si="10"/>
        <v>0.26229508196721313</v>
      </c>
    </row>
    <row r="47" spans="1:13" x14ac:dyDescent="0.25">
      <c r="A47" s="11" t="s">
        <v>100</v>
      </c>
      <c r="B47" s="14">
        <v>146</v>
      </c>
      <c r="C47" s="14">
        <v>70</v>
      </c>
      <c r="D47" s="2">
        <f t="shared" si="10"/>
        <v>0.52054794520547942</v>
      </c>
    </row>
    <row r="48" spans="1:13" x14ac:dyDescent="0.25">
      <c r="A48" s="11" t="s">
        <v>101</v>
      </c>
      <c r="B48" s="14">
        <v>88</v>
      </c>
      <c r="C48" s="14">
        <v>34</v>
      </c>
      <c r="D48" s="2">
        <f t="shared" si="10"/>
        <v>0.61363636363636365</v>
      </c>
    </row>
    <row r="49" spans="1:4" x14ac:dyDescent="0.25">
      <c r="A49" s="11" t="s">
        <v>102</v>
      </c>
      <c r="B49" s="14">
        <v>82</v>
      </c>
      <c r="C49" s="14">
        <v>45</v>
      </c>
      <c r="D49">
        <f t="shared" si="10"/>
        <v>0.45121951219512196</v>
      </c>
    </row>
    <row r="50" spans="1:4" x14ac:dyDescent="0.25">
      <c r="A50" s="11" t="s">
        <v>103</v>
      </c>
      <c r="B50" s="14">
        <v>22</v>
      </c>
      <c r="C50" s="14">
        <v>19</v>
      </c>
      <c r="D50">
        <f t="shared" si="10"/>
        <v>0.13636363636363635</v>
      </c>
    </row>
  </sheetData>
  <conditionalFormatting sqref="M5:M6 M25:M34">
    <cfRule type="cellIs" dxfId="1" priority="7" operator="lessThan">
      <formula>0.05</formula>
    </cfRule>
  </conditionalFormatting>
  <conditionalFormatting sqref="M14:M15">
    <cfRule type="cellIs" dxfId="0" priority="2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FEB4-D0CA-4F1A-9410-18CB78D99404}">
  <dimension ref="A1:R45"/>
  <sheetViews>
    <sheetView zoomScale="85" zoomScaleNormal="85" workbookViewId="0">
      <selection activeCell="T39" sqref="T39"/>
    </sheetView>
  </sheetViews>
  <sheetFormatPr defaultRowHeight="15" x14ac:dyDescent="0.25"/>
  <cols>
    <col min="4" max="4" width="11.5703125" customWidth="1"/>
    <col min="5" max="5" width="15.5703125" bestFit="1" customWidth="1"/>
    <col min="6" max="6" width="10.7109375" bestFit="1" customWidth="1"/>
  </cols>
  <sheetData>
    <row r="1" spans="1:18" x14ac:dyDescent="0.25">
      <c r="A1" s="8" t="s">
        <v>78</v>
      </c>
      <c r="B1" s="8" t="s">
        <v>79</v>
      </c>
      <c r="C1" s="8" t="s">
        <v>80</v>
      </c>
      <c r="D1" s="8" t="s">
        <v>81</v>
      </c>
      <c r="E1" s="10" t="s">
        <v>82</v>
      </c>
      <c r="F1" s="11"/>
      <c r="J1" s="17" t="s">
        <v>30</v>
      </c>
      <c r="K1" t="s">
        <v>28</v>
      </c>
      <c r="L1" t="s">
        <v>91</v>
      </c>
      <c r="M1" t="s">
        <v>92</v>
      </c>
      <c r="O1" s="17" t="s">
        <v>34</v>
      </c>
      <c r="P1" t="s">
        <v>28</v>
      </c>
      <c r="Q1" t="s">
        <v>91</v>
      </c>
      <c r="R1" t="s">
        <v>92</v>
      </c>
    </row>
    <row r="2" spans="1:18" x14ac:dyDescent="0.25">
      <c r="A2" t="s">
        <v>66</v>
      </c>
      <c r="B2" t="s">
        <v>68</v>
      </c>
      <c r="C2">
        <v>1</v>
      </c>
      <c r="D2" t="s">
        <v>3</v>
      </c>
      <c r="E2">
        <v>0</v>
      </c>
      <c r="F2" s="12">
        <v>44642</v>
      </c>
      <c r="J2" s="14" t="s">
        <v>66</v>
      </c>
      <c r="K2">
        <v>0</v>
      </c>
      <c r="L2">
        <v>0</v>
      </c>
      <c r="M2">
        <f t="shared" ref="M2:M20" si="0">K2-L2</f>
        <v>0</v>
      </c>
      <c r="N2" s="14"/>
      <c r="O2" t="s">
        <v>67</v>
      </c>
      <c r="P2">
        <v>35</v>
      </c>
      <c r="Q2">
        <v>15</v>
      </c>
      <c r="R2">
        <f>P2-Q2</f>
        <v>20</v>
      </c>
    </row>
    <row r="3" spans="1:18" x14ac:dyDescent="0.25">
      <c r="A3" t="s">
        <v>67</v>
      </c>
      <c r="B3" t="s">
        <v>68</v>
      </c>
      <c r="C3">
        <v>1</v>
      </c>
      <c r="D3" t="s">
        <v>83</v>
      </c>
      <c r="E3">
        <v>15</v>
      </c>
      <c r="F3" s="12">
        <v>44642</v>
      </c>
      <c r="J3" s="14" t="s">
        <v>64</v>
      </c>
      <c r="K3">
        <v>4</v>
      </c>
      <c r="L3">
        <v>1</v>
      </c>
      <c r="M3">
        <f t="shared" si="0"/>
        <v>3</v>
      </c>
      <c r="N3" s="14"/>
      <c r="O3" t="s">
        <v>65</v>
      </c>
      <c r="P3">
        <v>53</v>
      </c>
      <c r="Q3">
        <v>22</v>
      </c>
      <c r="R3">
        <f t="shared" ref="R3:R19" si="1">P3-Q3</f>
        <v>31</v>
      </c>
    </row>
    <row r="4" spans="1:18" x14ac:dyDescent="0.25">
      <c r="A4" t="s">
        <v>64</v>
      </c>
      <c r="B4" t="s">
        <v>68</v>
      </c>
      <c r="C4">
        <v>5</v>
      </c>
      <c r="D4" t="s">
        <v>3</v>
      </c>
      <c r="E4">
        <v>1</v>
      </c>
      <c r="F4" s="12">
        <v>44642</v>
      </c>
      <c r="J4" s="14" t="s">
        <v>69</v>
      </c>
      <c r="K4">
        <v>5</v>
      </c>
      <c r="L4">
        <v>4</v>
      </c>
      <c r="M4">
        <f t="shared" si="0"/>
        <v>1</v>
      </c>
      <c r="N4" s="14"/>
      <c r="O4" t="s">
        <v>70</v>
      </c>
      <c r="P4">
        <v>28</v>
      </c>
      <c r="Q4" s="14">
        <v>12</v>
      </c>
      <c r="R4">
        <f t="shared" si="1"/>
        <v>16</v>
      </c>
    </row>
    <row r="5" spans="1:18" x14ac:dyDescent="0.25">
      <c r="A5" t="s">
        <v>65</v>
      </c>
      <c r="B5" t="s">
        <v>68</v>
      </c>
      <c r="C5">
        <v>5</v>
      </c>
      <c r="D5" t="s">
        <v>83</v>
      </c>
      <c r="E5">
        <v>22</v>
      </c>
      <c r="F5" s="12">
        <v>44642</v>
      </c>
      <c r="J5" s="14" t="s">
        <v>74</v>
      </c>
      <c r="K5">
        <v>7</v>
      </c>
      <c r="L5">
        <v>4</v>
      </c>
      <c r="M5">
        <f t="shared" si="0"/>
        <v>3</v>
      </c>
      <c r="N5" s="14"/>
      <c r="O5" t="s">
        <v>75</v>
      </c>
      <c r="P5">
        <v>18</v>
      </c>
      <c r="Q5" s="14">
        <v>4</v>
      </c>
      <c r="R5">
        <f t="shared" si="1"/>
        <v>14</v>
      </c>
    </row>
    <row r="6" spans="1:18" x14ac:dyDescent="0.25">
      <c r="A6" t="s">
        <v>69</v>
      </c>
      <c r="B6" t="s">
        <v>68</v>
      </c>
      <c r="C6">
        <v>6</v>
      </c>
      <c r="D6" t="s">
        <v>3</v>
      </c>
      <c r="E6">
        <v>4</v>
      </c>
      <c r="F6" s="12">
        <v>44642</v>
      </c>
      <c r="J6" s="14" t="s">
        <v>72</v>
      </c>
      <c r="K6">
        <v>5</v>
      </c>
      <c r="L6">
        <v>0</v>
      </c>
      <c r="M6">
        <f t="shared" si="0"/>
        <v>5</v>
      </c>
      <c r="N6" s="14"/>
      <c r="O6" t="s">
        <v>73</v>
      </c>
      <c r="P6">
        <v>6</v>
      </c>
      <c r="Q6" s="14">
        <v>1</v>
      </c>
      <c r="R6">
        <f t="shared" si="1"/>
        <v>5</v>
      </c>
    </row>
    <row r="7" spans="1:18" x14ac:dyDescent="0.25">
      <c r="A7" t="s">
        <v>70</v>
      </c>
      <c r="B7" t="s">
        <v>68</v>
      </c>
      <c r="C7">
        <v>6</v>
      </c>
      <c r="D7" t="s">
        <v>83</v>
      </c>
      <c r="E7">
        <v>12</v>
      </c>
      <c r="F7" t="s">
        <v>84</v>
      </c>
      <c r="J7" s="14" t="s">
        <v>76</v>
      </c>
      <c r="K7">
        <v>24</v>
      </c>
      <c r="L7">
        <v>4</v>
      </c>
      <c r="M7">
        <f t="shared" si="0"/>
        <v>20</v>
      </c>
      <c r="N7" s="14"/>
      <c r="O7" t="s">
        <v>77</v>
      </c>
      <c r="P7">
        <v>22</v>
      </c>
      <c r="Q7" s="14">
        <v>6</v>
      </c>
      <c r="R7">
        <f t="shared" si="1"/>
        <v>16</v>
      </c>
    </row>
    <row r="8" spans="1:18" x14ac:dyDescent="0.25">
      <c r="A8" t="s">
        <v>85</v>
      </c>
      <c r="B8" t="s">
        <v>86</v>
      </c>
      <c r="C8">
        <v>9</v>
      </c>
      <c r="D8" t="s">
        <v>3</v>
      </c>
      <c r="E8" t="s">
        <v>87</v>
      </c>
      <c r="F8" t="s">
        <v>87</v>
      </c>
      <c r="J8" s="14" t="s">
        <v>43</v>
      </c>
      <c r="K8">
        <v>13</v>
      </c>
      <c r="L8">
        <v>1</v>
      </c>
      <c r="M8">
        <f t="shared" si="0"/>
        <v>12</v>
      </c>
      <c r="N8" s="14"/>
      <c r="O8" t="s">
        <v>44</v>
      </c>
      <c r="P8">
        <v>47</v>
      </c>
      <c r="Q8" s="14">
        <v>7</v>
      </c>
      <c r="R8">
        <f>P8-Q8</f>
        <v>40</v>
      </c>
    </row>
    <row r="9" spans="1:18" x14ac:dyDescent="0.25">
      <c r="A9" t="s">
        <v>88</v>
      </c>
      <c r="B9" t="s">
        <v>86</v>
      </c>
      <c r="C9">
        <v>9</v>
      </c>
      <c r="D9" t="s">
        <v>83</v>
      </c>
      <c r="E9" t="s">
        <v>87</v>
      </c>
      <c r="F9" t="s">
        <v>87</v>
      </c>
      <c r="J9" s="14" t="s">
        <v>45</v>
      </c>
      <c r="K9">
        <v>9</v>
      </c>
      <c r="L9">
        <v>2</v>
      </c>
      <c r="M9">
        <f t="shared" si="0"/>
        <v>7</v>
      </c>
      <c r="N9" s="14"/>
      <c r="O9" t="s">
        <v>46</v>
      </c>
      <c r="P9">
        <v>44</v>
      </c>
      <c r="Q9" s="14">
        <v>3</v>
      </c>
      <c r="R9">
        <f>P9-Q9</f>
        <v>41</v>
      </c>
    </row>
    <row r="10" spans="1:18" x14ac:dyDescent="0.25">
      <c r="A10" t="s">
        <v>74</v>
      </c>
      <c r="B10" t="s">
        <v>86</v>
      </c>
      <c r="C10">
        <v>10</v>
      </c>
      <c r="D10" t="s">
        <v>3</v>
      </c>
      <c r="E10">
        <v>4</v>
      </c>
      <c r="F10" s="13">
        <v>44645</v>
      </c>
      <c r="J10" s="14" t="s">
        <v>49</v>
      </c>
      <c r="K10">
        <v>14</v>
      </c>
      <c r="L10">
        <v>2</v>
      </c>
      <c r="M10">
        <f t="shared" si="0"/>
        <v>12</v>
      </c>
      <c r="N10" s="14"/>
      <c r="O10" t="s">
        <v>50</v>
      </c>
      <c r="P10">
        <v>35</v>
      </c>
      <c r="Q10" s="14">
        <v>7</v>
      </c>
      <c r="R10">
        <f>P10-Q10</f>
        <v>28</v>
      </c>
    </row>
    <row r="11" spans="1:18" x14ac:dyDescent="0.25">
      <c r="A11" t="s">
        <v>75</v>
      </c>
      <c r="B11" t="s">
        <v>86</v>
      </c>
      <c r="C11">
        <v>10</v>
      </c>
      <c r="D11" t="s">
        <v>83</v>
      </c>
      <c r="E11">
        <v>4</v>
      </c>
      <c r="F11" s="13">
        <v>44645</v>
      </c>
      <c r="J11" s="14" t="s">
        <v>51</v>
      </c>
      <c r="K11">
        <v>24</v>
      </c>
      <c r="L11">
        <v>4</v>
      </c>
      <c r="M11">
        <f t="shared" si="0"/>
        <v>20</v>
      </c>
      <c r="N11" s="14"/>
      <c r="O11" t="s">
        <v>53</v>
      </c>
      <c r="P11">
        <v>30</v>
      </c>
      <c r="Q11" s="14">
        <v>7</v>
      </c>
      <c r="R11">
        <f>P11-Q11</f>
        <v>23</v>
      </c>
    </row>
    <row r="12" spans="1:18" x14ac:dyDescent="0.25">
      <c r="A12" t="s">
        <v>72</v>
      </c>
      <c r="B12" t="s">
        <v>86</v>
      </c>
      <c r="C12">
        <v>8</v>
      </c>
      <c r="D12" t="s">
        <v>3</v>
      </c>
      <c r="E12">
        <v>0</v>
      </c>
      <c r="F12" s="13">
        <v>44645</v>
      </c>
      <c r="J12" s="15" t="s">
        <v>47</v>
      </c>
      <c r="K12" s="2">
        <v>16</v>
      </c>
      <c r="L12" s="2">
        <v>2</v>
      </c>
      <c r="M12" s="2">
        <f t="shared" si="0"/>
        <v>14</v>
      </c>
      <c r="N12" s="14"/>
      <c r="O12" s="2" t="s">
        <v>48</v>
      </c>
      <c r="P12" s="2">
        <v>28</v>
      </c>
      <c r="Q12" s="15" t="s">
        <v>87</v>
      </c>
      <c r="R12" s="15" t="s">
        <v>87</v>
      </c>
    </row>
    <row r="13" spans="1:18" x14ac:dyDescent="0.25">
      <c r="A13" t="s">
        <v>73</v>
      </c>
      <c r="B13" t="s">
        <v>86</v>
      </c>
      <c r="C13">
        <v>8</v>
      </c>
      <c r="D13" t="s">
        <v>83</v>
      </c>
      <c r="E13">
        <v>1</v>
      </c>
      <c r="F13" s="13">
        <v>44645</v>
      </c>
      <c r="J13" s="14" t="s">
        <v>55</v>
      </c>
      <c r="K13">
        <v>20</v>
      </c>
      <c r="L13">
        <v>3</v>
      </c>
      <c r="M13">
        <f t="shared" si="0"/>
        <v>17</v>
      </c>
      <c r="N13" s="14"/>
      <c r="O13" t="s">
        <v>56</v>
      </c>
      <c r="P13">
        <v>0</v>
      </c>
      <c r="Q13" s="14">
        <v>0</v>
      </c>
      <c r="R13">
        <f t="shared" si="1"/>
        <v>0</v>
      </c>
    </row>
    <row r="14" spans="1:18" x14ac:dyDescent="0.25">
      <c r="A14" t="s">
        <v>76</v>
      </c>
      <c r="B14" t="s">
        <v>86</v>
      </c>
      <c r="C14">
        <v>11</v>
      </c>
      <c r="D14" t="s">
        <v>3</v>
      </c>
      <c r="E14">
        <v>4</v>
      </c>
      <c r="F14" s="13">
        <v>44645</v>
      </c>
      <c r="J14" s="14" t="s">
        <v>57</v>
      </c>
      <c r="K14">
        <v>0</v>
      </c>
      <c r="L14">
        <v>0</v>
      </c>
      <c r="M14">
        <f t="shared" si="0"/>
        <v>0</v>
      </c>
      <c r="N14" s="14"/>
      <c r="O14" t="s">
        <v>58</v>
      </c>
      <c r="P14">
        <v>0</v>
      </c>
      <c r="Q14" s="14">
        <v>0</v>
      </c>
      <c r="R14">
        <f t="shared" si="1"/>
        <v>0</v>
      </c>
    </row>
    <row r="15" spans="1:18" x14ac:dyDescent="0.25">
      <c r="A15" t="s">
        <v>77</v>
      </c>
      <c r="B15" t="s">
        <v>86</v>
      </c>
      <c r="C15">
        <v>11</v>
      </c>
      <c r="D15" t="s">
        <v>83</v>
      </c>
      <c r="E15">
        <v>6</v>
      </c>
      <c r="F15" s="13">
        <v>44645</v>
      </c>
      <c r="J15" s="14" t="s">
        <v>59</v>
      </c>
      <c r="K15">
        <v>0</v>
      </c>
      <c r="L15">
        <v>0</v>
      </c>
      <c r="M15">
        <f t="shared" si="0"/>
        <v>0</v>
      </c>
      <c r="N15" s="14"/>
      <c r="O15" t="s">
        <v>60</v>
      </c>
      <c r="P15">
        <v>13</v>
      </c>
      <c r="Q15" s="14">
        <v>8</v>
      </c>
      <c r="R15">
        <f t="shared" si="1"/>
        <v>5</v>
      </c>
    </row>
    <row r="16" spans="1:18" x14ac:dyDescent="0.25">
      <c r="A16" t="s">
        <v>43</v>
      </c>
      <c r="B16" t="s">
        <v>52</v>
      </c>
      <c r="C16">
        <v>1</v>
      </c>
      <c r="D16" t="s">
        <v>3</v>
      </c>
      <c r="E16">
        <v>1</v>
      </c>
      <c r="F16" s="12">
        <v>44656</v>
      </c>
      <c r="J16" s="14" t="s">
        <v>61</v>
      </c>
      <c r="K16">
        <v>20</v>
      </c>
      <c r="L16">
        <v>7</v>
      </c>
      <c r="M16">
        <f t="shared" si="0"/>
        <v>13</v>
      </c>
      <c r="N16" s="14"/>
      <c r="O16" t="s">
        <v>62</v>
      </c>
      <c r="P16">
        <v>17</v>
      </c>
      <c r="Q16" s="14">
        <v>4</v>
      </c>
      <c r="R16">
        <f t="shared" si="1"/>
        <v>13</v>
      </c>
    </row>
    <row r="17" spans="1:18" x14ac:dyDescent="0.25">
      <c r="A17" t="s">
        <v>48</v>
      </c>
      <c r="B17" t="s">
        <v>52</v>
      </c>
      <c r="C17">
        <v>5</v>
      </c>
      <c r="D17" t="s">
        <v>83</v>
      </c>
      <c r="E17" t="s">
        <v>87</v>
      </c>
      <c r="F17" t="s">
        <v>87</v>
      </c>
      <c r="J17" s="14" t="s">
        <v>31</v>
      </c>
      <c r="K17">
        <v>33</v>
      </c>
      <c r="L17">
        <v>13</v>
      </c>
      <c r="M17">
        <f t="shared" si="0"/>
        <v>20</v>
      </c>
      <c r="O17" t="s">
        <v>35</v>
      </c>
      <c r="P17">
        <v>61</v>
      </c>
      <c r="Q17" s="14">
        <v>17</v>
      </c>
      <c r="R17">
        <f t="shared" si="1"/>
        <v>44</v>
      </c>
    </row>
    <row r="18" spans="1:18" x14ac:dyDescent="0.25">
      <c r="A18" t="s">
        <v>44</v>
      </c>
      <c r="B18" t="s">
        <v>52</v>
      </c>
      <c r="C18">
        <v>1</v>
      </c>
      <c r="D18" t="s">
        <v>83</v>
      </c>
      <c r="E18">
        <v>7</v>
      </c>
      <c r="F18" s="12">
        <v>44656</v>
      </c>
      <c r="J18" s="14" t="s">
        <v>36</v>
      </c>
      <c r="K18">
        <v>27</v>
      </c>
      <c r="L18">
        <v>1</v>
      </c>
      <c r="M18">
        <f t="shared" si="0"/>
        <v>26</v>
      </c>
      <c r="O18" t="s">
        <v>37</v>
      </c>
      <c r="P18">
        <v>32</v>
      </c>
      <c r="Q18" s="14">
        <v>4</v>
      </c>
      <c r="R18">
        <f t="shared" si="1"/>
        <v>28</v>
      </c>
    </row>
    <row r="19" spans="1:18" x14ac:dyDescent="0.25">
      <c r="A19" t="s">
        <v>45</v>
      </c>
      <c r="B19" t="s">
        <v>52</v>
      </c>
      <c r="C19">
        <v>2</v>
      </c>
      <c r="D19" t="s">
        <v>3</v>
      </c>
      <c r="E19">
        <v>2</v>
      </c>
      <c r="F19" s="12">
        <v>44656</v>
      </c>
      <c r="J19" s="14" t="s">
        <v>38</v>
      </c>
      <c r="K19">
        <v>35</v>
      </c>
      <c r="L19">
        <v>2</v>
      </c>
      <c r="M19">
        <f t="shared" si="0"/>
        <v>33</v>
      </c>
      <c r="O19" t="s">
        <v>39</v>
      </c>
      <c r="P19">
        <v>41</v>
      </c>
      <c r="Q19" s="14">
        <v>8</v>
      </c>
      <c r="R19">
        <f t="shared" si="1"/>
        <v>33</v>
      </c>
    </row>
    <row r="20" spans="1:18" x14ac:dyDescent="0.25">
      <c r="A20" t="s">
        <v>46</v>
      </c>
      <c r="B20" t="s">
        <v>52</v>
      </c>
      <c r="C20">
        <v>2</v>
      </c>
      <c r="D20" t="s">
        <v>83</v>
      </c>
      <c r="E20">
        <v>3</v>
      </c>
      <c r="F20" s="12">
        <v>44656</v>
      </c>
      <c r="J20" s="15" t="s">
        <v>40</v>
      </c>
      <c r="K20" s="2">
        <v>34</v>
      </c>
      <c r="L20" s="15">
        <v>3</v>
      </c>
      <c r="M20" s="2">
        <f t="shared" si="0"/>
        <v>31</v>
      </c>
      <c r="O20" s="2" t="s">
        <v>41</v>
      </c>
      <c r="P20" s="2">
        <v>11</v>
      </c>
      <c r="Q20" s="15" t="s">
        <v>87</v>
      </c>
      <c r="R20" s="15" t="s">
        <v>87</v>
      </c>
    </row>
    <row r="21" spans="1:18" x14ac:dyDescent="0.25">
      <c r="A21" t="s">
        <v>49</v>
      </c>
      <c r="B21" t="s">
        <v>52</v>
      </c>
      <c r="C21">
        <v>3</v>
      </c>
      <c r="D21" t="s">
        <v>3</v>
      </c>
      <c r="E21">
        <v>2</v>
      </c>
      <c r="F21" s="12">
        <v>44707</v>
      </c>
      <c r="K21" s="18" t="s">
        <v>93</v>
      </c>
      <c r="L21" s="1">
        <f>SUM(L2:L20)</f>
        <v>53</v>
      </c>
      <c r="M21" s="1">
        <f>SUM(M2:M20)</f>
        <v>237</v>
      </c>
      <c r="Q21" s="1">
        <f>SUM(Q2:Q20)</f>
        <v>125</v>
      </c>
      <c r="R21" s="1">
        <f>SUM(R2:R20)</f>
        <v>357</v>
      </c>
    </row>
    <row r="22" spans="1:18" x14ac:dyDescent="0.25">
      <c r="A22" t="s">
        <v>50</v>
      </c>
      <c r="B22" t="s">
        <v>52</v>
      </c>
      <c r="C22">
        <v>3</v>
      </c>
      <c r="D22" t="s">
        <v>83</v>
      </c>
      <c r="E22">
        <v>7</v>
      </c>
      <c r="F22" s="12">
        <v>44656</v>
      </c>
    </row>
    <row r="23" spans="1:18" x14ac:dyDescent="0.25">
      <c r="A23" t="s">
        <v>51</v>
      </c>
      <c r="B23" t="s">
        <v>52</v>
      </c>
      <c r="C23">
        <v>4</v>
      </c>
      <c r="D23" t="s">
        <v>3</v>
      </c>
      <c r="E23">
        <v>4</v>
      </c>
      <c r="F23" s="12">
        <v>44707</v>
      </c>
      <c r="J23" t="s">
        <v>94</v>
      </c>
      <c r="L23">
        <f>SUM(L2:L11,L13:L19)</f>
        <v>48</v>
      </c>
      <c r="M23">
        <f>SUM(M2:M11,M13:M19)</f>
        <v>192</v>
      </c>
    </row>
    <row r="24" spans="1:18" x14ac:dyDescent="0.25">
      <c r="A24" t="s">
        <v>53</v>
      </c>
      <c r="B24" t="s">
        <v>52</v>
      </c>
      <c r="C24">
        <v>4</v>
      </c>
      <c r="D24" t="s">
        <v>83</v>
      </c>
      <c r="E24">
        <v>7</v>
      </c>
      <c r="F24" s="12">
        <v>44707</v>
      </c>
    </row>
    <row r="25" spans="1:18" x14ac:dyDescent="0.25">
      <c r="A25" t="s">
        <v>47</v>
      </c>
      <c r="B25" t="s">
        <v>52</v>
      </c>
      <c r="C25">
        <v>5</v>
      </c>
      <c r="D25" t="s">
        <v>3</v>
      </c>
      <c r="E25">
        <v>2</v>
      </c>
      <c r="F25" s="12">
        <v>44656</v>
      </c>
    </row>
    <row r="26" spans="1:18" x14ac:dyDescent="0.25">
      <c r="A26" t="s">
        <v>55</v>
      </c>
      <c r="B26" t="s">
        <v>89</v>
      </c>
      <c r="C26">
        <v>1</v>
      </c>
      <c r="D26" t="s">
        <v>3</v>
      </c>
      <c r="E26">
        <v>3</v>
      </c>
      <c r="F26" s="12">
        <v>44706</v>
      </c>
    </row>
    <row r="27" spans="1:18" x14ac:dyDescent="0.25">
      <c r="A27" t="s">
        <v>56</v>
      </c>
      <c r="B27" t="s">
        <v>89</v>
      </c>
      <c r="C27">
        <v>1</v>
      </c>
      <c r="D27" t="s">
        <v>83</v>
      </c>
      <c r="E27">
        <v>0</v>
      </c>
      <c r="F27" s="12">
        <v>44706</v>
      </c>
    </row>
    <row r="28" spans="1:18" x14ac:dyDescent="0.25">
      <c r="A28" t="s">
        <v>57</v>
      </c>
      <c r="B28" t="s">
        <v>89</v>
      </c>
      <c r="C28">
        <v>2</v>
      </c>
      <c r="D28" t="s">
        <v>3</v>
      </c>
      <c r="E28">
        <v>0</v>
      </c>
      <c r="F28" s="12">
        <v>44706</v>
      </c>
      <c r="L28" t="s">
        <v>91</v>
      </c>
      <c r="M28" t="s">
        <v>92</v>
      </c>
      <c r="Q28" t="s">
        <v>91</v>
      </c>
      <c r="R28" t="s">
        <v>92</v>
      </c>
    </row>
    <row r="29" spans="1:18" x14ac:dyDescent="0.25">
      <c r="A29" t="s">
        <v>58</v>
      </c>
      <c r="B29" t="s">
        <v>89</v>
      </c>
      <c r="C29">
        <v>2</v>
      </c>
      <c r="D29" t="s">
        <v>83</v>
      </c>
      <c r="E29">
        <v>0</v>
      </c>
      <c r="F29" s="12">
        <v>44706</v>
      </c>
      <c r="K29" s="17" t="s">
        <v>30</v>
      </c>
      <c r="L29" t="s">
        <v>132</v>
      </c>
      <c r="M29" t="s">
        <v>133</v>
      </c>
      <c r="P29" s="17" t="s">
        <v>34</v>
      </c>
      <c r="Q29" t="s">
        <v>132</v>
      </c>
      <c r="R29" t="s">
        <v>133</v>
      </c>
    </row>
    <row r="30" spans="1:18" x14ac:dyDescent="0.25">
      <c r="A30" t="s">
        <v>59</v>
      </c>
      <c r="B30" t="s">
        <v>89</v>
      </c>
      <c r="C30">
        <v>3</v>
      </c>
      <c r="D30" t="s">
        <v>3</v>
      </c>
      <c r="E30">
        <v>0</v>
      </c>
      <c r="F30" s="12">
        <v>44706</v>
      </c>
      <c r="K30" s="1" t="s">
        <v>118</v>
      </c>
      <c r="L30">
        <f>AVERAGE(L13:L19,L2:L11)</f>
        <v>2.8235294117647061</v>
      </c>
      <c r="M30">
        <f>AVERAGE(M13:M19,M2:M11)</f>
        <v>11.294117647058824</v>
      </c>
      <c r="P30" s="1" t="s">
        <v>118</v>
      </c>
      <c r="Q30">
        <f>AVERAGE(Q13:Q19,Q2:Q11)</f>
        <v>7.3529411764705879</v>
      </c>
      <c r="R30">
        <f>AVERAGE(R13:R19,R2:R11)</f>
        <v>21</v>
      </c>
    </row>
    <row r="31" spans="1:18" x14ac:dyDescent="0.25">
      <c r="A31" t="s">
        <v>60</v>
      </c>
      <c r="B31" t="s">
        <v>89</v>
      </c>
      <c r="C31">
        <v>3</v>
      </c>
      <c r="D31" t="s">
        <v>83</v>
      </c>
      <c r="E31">
        <v>8</v>
      </c>
      <c r="F31" s="12">
        <v>44706</v>
      </c>
      <c r="K31" s="3" t="s">
        <v>120</v>
      </c>
      <c r="L31" s="3">
        <v>0.05</v>
      </c>
      <c r="M31" s="3">
        <v>0.05</v>
      </c>
      <c r="N31" s="3"/>
      <c r="O31" s="3"/>
      <c r="P31" s="3" t="s">
        <v>120</v>
      </c>
      <c r="Q31" s="3">
        <v>0.05</v>
      </c>
      <c r="R31" s="3">
        <v>0.05</v>
      </c>
    </row>
    <row r="32" spans="1:18" x14ac:dyDescent="0.25">
      <c r="A32" t="s">
        <v>61</v>
      </c>
      <c r="B32" t="s">
        <v>89</v>
      </c>
      <c r="C32">
        <v>4</v>
      </c>
      <c r="D32" t="s">
        <v>3</v>
      </c>
      <c r="E32">
        <v>7</v>
      </c>
      <c r="F32" s="12">
        <v>44706</v>
      </c>
      <c r="K32" s="3" t="s">
        <v>121</v>
      </c>
      <c r="L32" s="3">
        <f>_xlfn.STDEV.P(L2:L11,L13:L19)</f>
        <v>3.1666514902811227</v>
      </c>
      <c r="M32" s="3">
        <f>_xlfn.STDEV.P(M2:M11,M13:M19)</f>
        <v>9.8085479280445682</v>
      </c>
      <c r="N32" s="3"/>
      <c r="O32" s="3"/>
      <c r="P32" s="3" t="s">
        <v>121</v>
      </c>
      <c r="Q32" s="3">
        <f>_xlfn.STDEV.P(Q2:Q11,Q13:Q19)</f>
        <v>5.9005600578707602</v>
      </c>
      <c r="R32" s="3">
        <f>_xlfn.STDEV.P(R2:R11,R13:R19)</f>
        <v>13.707018382608833</v>
      </c>
    </row>
    <row r="33" spans="1:18" x14ac:dyDescent="0.25">
      <c r="A33" t="s">
        <v>62</v>
      </c>
      <c r="B33" t="s">
        <v>89</v>
      </c>
      <c r="C33">
        <v>4</v>
      </c>
      <c r="D33" t="s">
        <v>83</v>
      </c>
      <c r="E33">
        <v>4</v>
      </c>
      <c r="F33" s="12">
        <v>44706</v>
      </c>
      <c r="K33" s="3" t="s">
        <v>122</v>
      </c>
      <c r="L33" s="3">
        <f>L21</f>
        <v>53</v>
      </c>
      <c r="M33" s="3">
        <f>M21</f>
        <v>237</v>
      </c>
      <c r="N33" s="3"/>
      <c r="O33" s="3"/>
      <c r="P33" s="3" t="s">
        <v>122</v>
      </c>
      <c r="Q33" s="3">
        <f>Q21</f>
        <v>125</v>
      </c>
      <c r="R33" s="3">
        <f>R21</f>
        <v>357</v>
      </c>
    </row>
    <row r="34" spans="1:18" x14ac:dyDescent="0.25">
      <c r="A34" t="s">
        <v>31</v>
      </c>
      <c r="B34" t="s">
        <v>90</v>
      </c>
      <c r="C34">
        <v>1</v>
      </c>
      <c r="D34" t="s">
        <v>3</v>
      </c>
      <c r="E34">
        <v>13</v>
      </c>
      <c r="F34" s="12">
        <v>44638</v>
      </c>
      <c r="K34" s="1" t="s">
        <v>119</v>
      </c>
      <c r="L34">
        <f>CONFIDENCE(L31,L32,L33)</f>
        <v>0.85253148193268125</v>
      </c>
      <c r="M34">
        <f>CONFIDENCE(M31,M32,M33)</f>
        <v>1.248759015189252</v>
      </c>
      <c r="P34" s="1" t="s">
        <v>119</v>
      </c>
      <c r="Q34">
        <f>CONFIDENCE(Q31,Q32,Q33)</f>
        <v>1.0343947785499157</v>
      </c>
      <c r="R34">
        <f>CONFIDENCE(R31,R32,R33)</f>
        <v>1.4218604630394496</v>
      </c>
    </row>
    <row r="35" spans="1:18" x14ac:dyDescent="0.25">
      <c r="A35" t="s">
        <v>35</v>
      </c>
      <c r="B35" t="s">
        <v>90</v>
      </c>
      <c r="C35">
        <v>1</v>
      </c>
      <c r="D35" t="s">
        <v>83</v>
      </c>
      <c r="E35">
        <v>17</v>
      </c>
      <c r="F35" s="12">
        <v>44638</v>
      </c>
      <c r="K35" s="22" t="s">
        <v>128</v>
      </c>
      <c r="L35">
        <f>L30+L34</f>
        <v>3.6760608936973873</v>
      </c>
      <c r="M35">
        <f>M30+M34</f>
        <v>12.542876662248077</v>
      </c>
      <c r="P35" s="22" t="s">
        <v>128</v>
      </c>
      <c r="Q35">
        <f>Q30+Q34</f>
        <v>8.3873359550205038</v>
      </c>
      <c r="R35">
        <f>R30+R34</f>
        <v>22.421860463039451</v>
      </c>
    </row>
    <row r="36" spans="1:18" x14ac:dyDescent="0.25">
      <c r="A36" t="s">
        <v>36</v>
      </c>
      <c r="B36" t="s">
        <v>90</v>
      </c>
      <c r="C36">
        <v>2</v>
      </c>
      <c r="D36" t="s">
        <v>3</v>
      </c>
      <c r="E36">
        <v>1</v>
      </c>
      <c r="F36" s="12">
        <v>44638</v>
      </c>
      <c r="K36" s="22" t="s">
        <v>129</v>
      </c>
      <c r="L36">
        <f>L30-L34</f>
        <v>1.9709979298320248</v>
      </c>
      <c r="M36">
        <f>M30-M34</f>
        <v>10.045358631869572</v>
      </c>
      <c r="P36" s="22" t="s">
        <v>129</v>
      </c>
      <c r="Q36">
        <f>Q30-Q34</f>
        <v>6.318546397920672</v>
      </c>
      <c r="R36">
        <f>R30-R34</f>
        <v>19.578139536960549</v>
      </c>
    </row>
    <row r="37" spans="1:18" x14ac:dyDescent="0.25">
      <c r="A37" t="s">
        <v>37</v>
      </c>
      <c r="B37" t="s">
        <v>90</v>
      </c>
      <c r="C37">
        <v>2</v>
      </c>
      <c r="D37" t="s">
        <v>83</v>
      </c>
      <c r="E37">
        <v>4</v>
      </c>
      <c r="F37" s="12">
        <v>44638</v>
      </c>
      <c r="K37" s="22"/>
    </row>
    <row r="38" spans="1:18" x14ac:dyDescent="0.25">
      <c r="A38" t="s">
        <v>38</v>
      </c>
      <c r="B38" t="s">
        <v>90</v>
      </c>
      <c r="C38">
        <v>3</v>
      </c>
      <c r="D38" t="s">
        <v>3</v>
      </c>
      <c r="E38">
        <v>2</v>
      </c>
      <c r="F38" s="12">
        <v>44638</v>
      </c>
    </row>
    <row r="39" spans="1:18" x14ac:dyDescent="0.25">
      <c r="A39" t="s">
        <v>39</v>
      </c>
      <c r="B39" t="s">
        <v>90</v>
      </c>
      <c r="C39">
        <v>3</v>
      </c>
      <c r="D39" t="s">
        <v>83</v>
      </c>
      <c r="E39">
        <v>8</v>
      </c>
      <c r="F39" s="12">
        <v>44638</v>
      </c>
    </row>
    <row r="40" spans="1:18" ht="18.75" x14ac:dyDescent="0.3">
      <c r="A40" t="s">
        <v>40</v>
      </c>
      <c r="B40" t="s">
        <v>90</v>
      </c>
      <c r="C40">
        <v>4</v>
      </c>
      <c r="D40" t="s">
        <v>3</v>
      </c>
      <c r="E40" s="14">
        <v>3</v>
      </c>
      <c r="F40" s="12">
        <v>44656</v>
      </c>
      <c r="I40" s="21" t="s">
        <v>123</v>
      </c>
      <c r="J40" s="2"/>
      <c r="N40" t="s">
        <v>117</v>
      </c>
      <c r="O40" t="s">
        <v>117</v>
      </c>
    </row>
    <row r="41" spans="1:18" x14ac:dyDescent="0.25">
      <c r="A41" s="2" t="s">
        <v>41</v>
      </c>
      <c r="B41" s="2" t="s">
        <v>90</v>
      </c>
      <c r="C41" s="2">
        <v>4</v>
      </c>
      <c r="D41" s="2" t="s">
        <v>83</v>
      </c>
      <c r="E41" s="15">
        <v>17</v>
      </c>
      <c r="F41" s="16">
        <v>44656</v>
      </c>
      <c r="K41" t="s">
        <v>81</v>
      </c>
      <c r="L41" t="s">
        <v>127</v>
      </c>
      <c r="M41" t="s">
        <v>126</v>
      </c>
      <c r="N41" t="s">
        <v>130</v>
      </c>
      <c r="O41" t="s">
        <v>131</v>
      </c>
      <c r="P41" t="s">
        <v>136</v>
      </c>
    </row>
    <row r="42" spans="1:18" x14ac:dyDescent="0.25">
      <c r="K42" t="s">
        <v>3</v>
      </c>
      <c r="L42" t="s">
        <v>125</v>
      </c>
      <c r="M42">
        <v>11.294117647058799</v>
      </c>
      <c r="N42">
        <v>12.5428766622481</v>
      </c>
      <c r="O42">
        <v>10.0453586318696</v>
      </c>
      <c r="P42">
        <v>192</v>
      </c>
    </row>
    <row r="43" spans="1:18" x14ac:dyDescent="0.25">
      <c r="K43" t="s">
        <v>3</v>
      </c>
      <c r="L43" t="s">
        <v>124</v>
      </c>
      <c r="M43">
        <v>2.8235294117647101</v>
      </c>
      <c r="N43">
        <v>3.67606089369739</v>
      </c>
      <c r="O43">
        <v>1.9709979298320199</v>
      </c>
      <c r="P43">
        <v>48</v>
      </c>
    </row>
    <row r="44" spans="1:18" x14ac:dyDescent="0.25">
      <c r="K44" t="s">
        <v>2</v>
      </c>
      <c r="L44" t="s">
        <v>125</v>
      </c>
      <c r="M44">
        <v>21</v>
      </c>
      <c r="N44">
        <v>22.421860463039501</v>
      </c>
      <c r="O44">
        <v>19.578139536960499</v>
      </c>
      <c r="P44">
        <v>357</v>
      </c>
    </row>
    <row r="45" spans="1:18" x14ac:dyDescent="0.25">
      <c r="K45" t="s">
        <v>2</v>
      </c>
      <c r="L45" t="s">
        <v>124</v>
      </c>
      <c r="M45">
        <v>7.3529411764705896</v>
      </c>
      <c r="N45">
        <v>8.3873359550205002</v>
      </c>
      <c r="O45">
        <v>6.3185463979206702</v>
      </c>
      <c r="P45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6885-F62B-4D3B-A7CA-F4725B3218D5}">
  <dimension ref="A1:CN1951"/>
  <sheetViews>
    <sheetView topLeftCell="P43" zoomScaleNormal="100" workbookViewId="0">
      <selection activeCell="BG57" sqref="BG57"/>
    </sheetView>
  </sheetViews>
  <sheetFormatPr defaultRowHeight="15" x14ac:dyDescent="0.25"/>
  <cols>
    <col min="1" max="1" width="13" customWidth="1"/>
    <col min="3" max="3" width="10.7109375" bestFit="1" customWidth="1"/>
    <col min="4" max="4" width="10.7109375" customWidth="1"/>
    <col min="5" max="5" width="12.140625" customWidth="1"/>
    <col min="6" max="6" width="11.7109375" customWidth="1"/>
    <col min="7" max="7" width="12.42578125" customWidth="1"/>
    <col min="8" max="8" width="12.7109375" customWidth="1"/>
    <col min="9" max="9" width="9.42578125" bestFit="1" customWidth="1"/>
    <col min="10" max="10" width="12.28515625" bestFit="1" customWidth="1"/>
    <col min="14" max="14" width="10.42578125" customWidth="1"/>
    <col min="15" max="15" width="9.28515625" customWidth="1"/>
    <col min="16" max="16" width="18.140625" customWidth="1"/>
    <col min="17" max="17" width="10.85546875" bestFit="1" customWidth="1"/>
    <col min="18" max="18" width="5.7109375" customWidth="1"/>
    <col min="19" max="21" width="9.7109375" customWidth="1"/>
    <col min="24" max="24" width="14.85546875" bestFit="1" customWidth="1"/>
    <col min="25" max="25" width="16.28515625" bestFit="1" customWidth="1"/>
    <col min="26" max="27" width="3" bestFit="1" customWidth="1"/>
    <col min="28" max="28" width="4" bestFit="1" customWidth="1"/>
    <col min="29" max="32" width="3" bestFit="1" customWidth="1"/>
    <col min="33" max="34" width="2.85546875" bestFit="1" customWidth="1"/>
    <col min="35" max="37" width="3" bestFit="1" customWidth="1"/>
    <col min="38" max="38" width="3.7109375" bestFit="1" customWidth="1"/>
    <col min="39" max="39" width="4" bestFit="1" customWidth="1"/>
    <col min="40" max="40" width="3" bestFit="1" customWidth="1"/>
    <col min="41" max="41" width="4" bestFit="1" customWidth="1"/>
    <col min="42" max="46" width="3" bestFit="1" customWidth="1"/>
    <col min="47" max="50" width="3.140625" bestFit="1" customWidth="1"/>
    <col min="51" max="51" width="3" bestFit="1" customWidth="1"/>
    <col min="52" max="52" width="4" bestFit="1" customWidth="1"/>
    <col min="53" max="58" width="3" bestFit="1" customWidth="1"/>
    <col min="59" max="59" width="11.28515625" bestFit="1" customWidth="1"/>
    <col min="60" max="60" width="17.7109375" bestFit="1" customWidth="1"/>
    <col min="61" max="61" width="13.28515625" customWidth="1"/>
    <col min="62" max="64" width="3.140625" bestFit="1" customWidth="1"/>
    <col min="65" max="66" width="2.85546875" bestFit="1" customWidth="1"/>
    <col min="67" max="67" width="3.140625" bestFit="1" customWidth="1"/>
    <col min="68" max="68" width="3.85546875" bestFit="1" customWidth="1"/>
    <col min="69" max="78" width="3.140625" bestFit="1" customWidth="1"/>
    <col min="79" max="79" width="3.28515625" bestFit="1" customWidth="1"/>
    <col min="80" max="80" width="12.85546875" bestFit="1" customWidth="1"/>
    <col min="81" max="81" width="9" customWidth="1"/>
    <col min="82" max="82" width="8.5703125" bestFit="1" customWidth="1"/>
    <col min="83" max="83" width="8.140625" customWidth="1"/>
    <col min="84" max="84" width="13.85546875" customWidth="1"/>
    <col min="85" max="85" width="8.28515625" customWidth="1"/>
    <col min="86" max="86" width="7.42578125" customWidth="1"/>
    <col min="87" max="94" width="3.28515625" bestFit="1" customWidth="1"/>
    <col min="95" max="95" width="2.140625" bestFit="1" customWidth="1"/>
    <col min="96" max="96" width="4.28515625" bestFit="1" customWidth="1"/>
    <col min="97" max="99" width="3.7109375" customWidth="1"/>
    <col min="100" max="115" width="12" bestFit="1" customWidth="1"/>
    <col min="116" max="116" width="4" bestFit="1" customWidth="1"/>
    <col min="117" max="126" width="12" bestFit="1" customWidth="1"/>
    <col min="127" max="127" width="22.140625" bestFit="1" customWidth="1"/>
    <col min="128" max="128" width="19.85546875" bestFit="1" customWidth="1"/>
    <col min="129" max="129" width="22" bestFit="1" customWidth="1"/>
  </cols>
  <sheetData>
    <row r="1" spans="1:27" x14ac:dyDescent="0.25">
      <c r="A1" s="8" t="s">
        <v>20</v>
      </c>
      <c r="B1" s="8" t="s">
        <v>21</v>
      </c>
      <c r="C1" s="8" t="s">
        <v>22</v>
      </c>
      <c r="D1" s="8" t="s">
        <v>23</v>
      </c>
      <c r="E1" s="34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138</v>
      </c>
      <c r="L1" s="17" t="s">
        <v>2</v>
      </c>
      <c r="M1" t="s">
        <v>78</v>
      </c>
      <c r="N1" t="s">
        <v>95</v>
      </c>
      <c r="Q1" s="17" t="s">
        <v>3</v>
      </c>
      <c r="R1" t="s">
        <v>78</v>
      </c>
      <c r="S1" t="s">
        <v>95</v>
      </c>
      <c r="X1" s="17" t="s">
        <v>109</v>
      </c>
      <c r="Y1" s="17"/>
    </row>
    <row r="2" spans="1:27" x14ac:dyDescent="0.25">
      <c r="A2" t="s">
        <v>29</v>
      </c>
      <c r="B2">
        <v>1</v>
      </c>
      <c r="C2" t="s">
        <v>30</v>
      </c>
      <c r="D2" t="s">
        <v>31</v>
      </c>
      <c r="E2" s="2">
        <v>0</v>
      </c>
      <c r="F2">
        <v>0</v>
      </c>
      <c r="G2">
        <v>0</v>
      </c>
      <c r="H2">
        <v>0</v>
      </c>
      <c r="I2" t="s">
        <v>32</v>
      </c>
      <c r="J2">
        <v>0</v>
      </c>
      <c r="M2" t="s">
        <v>35</v>
      </c>
      <c r="N2">
        <v>13</v>
      </c>
      <c r="O2" s="19" t="s">
        <v>105</v>
      </c>
      <c r="P2" s="20"/>
      <c r="R2" t="s">
        <v>31</v>
      </c>
      <c r="S2">
        <v>6</v>
      </c>
      <c r="T2" s="19" t="s">
        <v>107</v>
      </c>
      <c r="U2" s="20"/>
    </row>
    <row r="3" spans="1:27" x14ac:dyDescent="0.25">
      <c r="A3" t="s">
        <v>29</v>
      </c>
      <c r="B3">
        <v>1</v>
      </c>
      <c r="C3" t="s">
        <v>30</v>
      </c>
      <c r="D3" t="s">
        <v>31</v>
      </c>
      <c r="E3" s="2">
        <v>0</v>
      </c>
      <c r="F3">
        <v>0</v>
      </c>
      <c r="G3">
        <v>0</v>
      </c>
      <c r="H3">
        <v>0</v>
      </c>
      <c r="I3" t="s">
        <v>32</v>
      </c>
      <c r="J3">
        <v>0</v>
      </c>
      <c r="M3" t="s">
        <v>35</v>
      </c>
      <c r="N3">
        <v>0</v>
      </c>
      <c r="O3" s="19" t="s">
        <v>106</v>
      </c>
      <c r="P3" s="20"/>
      <c r="R3" t="s">
        <v>31</v>
      </c>
      <c r="S3">
        <v>42</v>
      </c>
      <c r="T3" s="19" t="s">
        <v>108</v>
      </c>
      <c r="U3" s="20"/>
      <c r="W3" t="s">
        <v>96</v>
      </c>
      <c r="Y3" s="1" t="s">
        <v>104</v>
      </c>
      <c r="Z3" s="1" t="s">
        <v>2</v>
      </c>
      <c r="AA3" s="1" t="s">
        <v>3</v>
      </c>
    </row>
    <row r="4" spans="1:27" x14ac:dyDescent="0.25">
      <c r="A4" t="s">
        <v>29</v>
      </c>
      <c r="B4">
        <v>1</v>
      </c>
      <c r="C4" t="s">
        <v>30</v>
      </c>
      <c r="D4" t="s">
        <v>31</v>
      </c>
      <c r="E4" s="2">
        <v>0</v>
      </c>
      <c r="F4">
        <v>0</v>
      </c>
      <c r="G4">
        <v>0</v>
      </c>
      <c r="H4">
        <v>0</v>
      </c>
      <c r="I4" t="s">
        <v>32</v>
      </c>
      <c r="J4">
        <v>0</v>
      </c>
      <c r="M4" t="s">
        <v>35</v>
      </c>
      <c r="N4">
        <v>0</v>
      </c>
      <c r="R4" t="s">
        <v>31</v>
      </c>
      <c r="S4">
        <v>53</v>
      </c>
      <c r="W4">
        <v>0</v>
      </c>
      <c r="Y4" s="11">
        <v>0</v>
      </c>
      <c r="Z4">
        <v>314</v>
      </c>
      <c r="AA4">
        <v>250</v>
      </c>
    </row>
    <row r="5" spans="1:27" x14ac:dyDescent="0.25">
      <c r="A5" t="s">
        <v>29</v>
      </c>
      <c r="B5">
        <v>1</v>
      </c>
      <c r="C5" t="s">
        <v>30</v>
      </c>
      <c r="D5" t="s">
        <v>31</v>
      </c>
      <c r="E5" s="2">
        <v>0</v>
      </c>
      <c r="F5">
        <v>0</v>
      </c>
      <c r="G5">
        <v>0</v>
      </c>
      <c r="H5">
        <v>0</v>
      </c>
      <c r="I5" t="s">
        <v>32</v>
      </c>
      <c r="J5">
        <v>0</v>
      </c>
      <c r="M5" t="s">
        <v>35</v>
      </c>
      <c r="N5">
        <v>120</v>
      </c>
      <c r="R5" t="s">
        <v>31</v>
      </c>
      <c r="S5">
        <v>36</v>
      </c>
      <c r="W5">
        <v>9</v>
      </c>
      <c r="Y5" s="11" t="s">
        <v>150</v>
      </c>
      <c r="Z5">
        <v>177</v>
      </c>
      <c r="AA5">
        <v>139</v>
      </c>
    </row>
    <row r="6" spans="1:27" x14ac:dyDescent="0.25">
      <c r="A6" t="s">
        <v>29</v>
      </c>
      <c r="B6">
        <v>1</v>
      </c>
      <c r="C6" t="s">
        <v>30</v>
      </c>
      <c r="D6" t="s">
        <v>31</v>
      </c>
      <c r="E6" s="2">
        <v>0</v>
      </c>
      <c r="F6">
        <v>0</v>
      </c>
      <c r="G6">
        <v>0</v>
      </c>
      <c r="H6">
        <v>0</v>
      </c>
      <c r="I6" t="s">
        <v>32</v>
      </c>
      <c r="J6">
        <v>0</v>
      </c>
      <c r="M6" t="s">
        <v>35</v>
      </c>
      <c r="N6">
        <v>14</v>
      </c>
      <c r="R6" t="s">
        <v>31</v>
      </c>
      <c r="S6">
        <v>36</v>
      </c>
      <c r="W6">
        <v>20</v>
      </c>
      <c r="Y6" s="11" t="s">
        <v>151</v>
      </c>
      <c r="Z6">
        <v>142</v>
      </c>
      <c r="AA6">
        <v>91</v>
      </c>
    </row>
    <row r="7" spans="1:27" x14ac:dyDescent="0.25">
      <c r="A7" t="s">
        <v>29</v>
      </c>
      <c r="B7">
        <v>1</v>
      </c>
      <c r="C7" t="s">
        <v>30</v>
      </c>
      <c r="D7" t="s">
        <v>31</v>
      </c>
      <c r="E7" s="2">
        <v>0</v>
      </c>
      <c r="F7">
        <v>0</v>
      </c>
      <c r="G7">
        <v>0</v>
      </c>
      <c r="H7">
        <v>0</v>
      </c>
      <c r="I7" t="s">
        <v>32</v>
      </c>
      <c r="J7">
        <v>0</v>
      </c>
      <c r="M7" t="s">
        <v>35</v>
      </c>
      <c r="N7">
        <v>37</v>
      </c>
      <c r="R7" t="s">
        <v>31</v>
      </c>
      <c r="S7">
        <v>64</v>
      </c>
      <c r="W7">
        <v>30</v>
      </c>
      <c r="Y7" s="11" t="s">
        <v>97</v>
      </c>
      <c r="Z7">
        <v>81</v>
      </c>
      <c r="AA7">
        <v>43</v>
      </c>
    </row>
    <row r="8" spans="1:27" x14ac:dyDescent="0.25">
      <c r="A8" t="s">
        <v>29</v>
      </c>
      <c r="B8">
        <v>1</v>
      </c>
      <c r="C8" t="s">
        <v>30</v>
      </c>
      <c r="D8" t="s">
        <v>31</v>
      </c>
      <c r="E8" s="2">
        <v>0</v>
      </c>
      <c r="F8">
        <v>0</v>
      </c>
      <c r="G8">
        <v>0</v>
      </c>
      <c r="H8">
        <v>0</v>
      </c>
      <c r="I8" t="s">
        <v>32</v>
      </c>
      <c r="J8">
        <v>0</v>
      </c>
      <c r="M8" t="s">
        <v>35</v>
      </c>
      <c r="N8">
        <v>24</v>
      </c>
      <c r="R8" t="s">
        <v>31</v>
      </c>
      <c r="S8">
        <v>36</v>
      </c>
      <c r="W8">
        <v>40</v>
      </c>
      <c r="Y8" s="11" t="s">
        <v>98</v>
      </c>
      <c r="Z8">
        <v>58</v>
      </c>
      <c r="AA8">
        <v>43</v>
      </c>
    </row>
    <row r="9" spans="1:27" x14ac:dyDescent="0.25">
      <c r="A9" t="s">
        <v>29</v>
      </c>
      <c r="B9">
        <v>1</v>
      </c>
      <c r="C9" t="s">
        <v>30</v>
      </c>
      <c r="D9" t="s">
        <v>31</v>
      </c>
      <c r="E9" s="2">
        <v>0</v>
      </c>
      <c r="F9">
        <v>0</v>
      </c>
      <c r="G9">
        <v>0</v>
      </c>
      <c r="H9">
        <v>0</v>
      </c>
      <c r="I9" t="s">
        <v>32</v>
      </c>
      <c r="J9">
        <v>0</v>
      </c>
      <c r="M9" t="s">
        <v>35</v>
      </c>
      <c r="N9">
        <v>0</v>
      </c>
      <c r="R9" t="s">
        <v>31</v>
      </c>
      <c r="S9">
        <v>21</v>
      </c>
      <c r="W9">
        <v>50</v>
      </c>
      <c r="Y9" s="11" t="s">
        <v>99</v>
      </c>
      <c r="Z9">
        <v>61</v>
      </c>
      <c r="AA9">
        <v>45</v>
      </c>
    </row>
    <row r="10" spans="1:27" x14ac:dyDescent="0.25">
      <c r="A10" t="s">
        <v>29</v>
      </c>
      <c r="B10">
        <v>1</v>
      </c>
      <c r="C10" t="s">
        <v>30</v>
      </c>
      <c r="D10" t="s">
        <v>31</v>
      </c>
      <c r="E10" s="2">
        <v>0</v>
      </c>
      <c r="F10">
        <v>0</v>
      </c>
      <c r="G10">
        <v>0</v>
      </c>
      <c r="H10">
        <v>0</v>
      </c>
      <c r="I10" t="s">
        <v>32</v>
      </c>
      <c r="J10">
        <v>0</v>
      </c>
      <c r="M10" t="s">
        <v>35</v>
      </c>
      <c r="N10">
        <v>42</v>
      </c>
      <c r="R10" t="s">
        <v>31</v>
      </c>
      <c r="S10">
        <v>23</v>
      </c>
      <c r="W10">
        <v>75</v>
      </c>
      <c r="Y10" s="11" t="s">
        <v>100</v>
      </c>
      <c r="Z10">
        <v>146</v>
      </c>
      <c r="AA10">
        <v>70</v>
      </c>
    </row>
    <row r="11" spans="1:27" x14ac:dyDescent="0.25">
      <c r="A11" t="s">
        <v>29</v>
      </c>
      <c r="B11">
        <v>1</v>
      </c>
      <c r="C11" t="s">
        <v>34</v>
      </c>
      <c r="D11" t="s">
        <v>35</v>
      </c>
      <c r="E11" s="2">
        <v>0</v>
      </c>
      <c r="F11">
        <v>0</v>
      </c>
      <c r="G11">
        <v>0</v>
      </c>
      <c r="H11">
        <v>0</v>
      </c>
      <c r="I11" t="s">
        <v>32</v>
      </c>
      <c r="J11">
        <v>0</v>
      </c>
      <c r="M11" t="s">
        <v>35</v>
      </c>
      <c r="N11">
        <v>23</v>
      </c>
      <c r="R11" t="s">
        <v>31</v>
      </c>
      <c r="S11">
        <v>73</v>
      </c>
      <c r="W11">
        <v>100</v>
      </c>
      <c r="Y11" s="11" t="s">
        <v>101</v>
      </c>
      <c r="Z11">
        <v>88</v>
      </c>
      <c r="AA11">
        <v>34</v>
      </c>
    </row>
    <row r="12" spans="1:27" x14ac:dyDescent="0.25">
      <c r="A12" t="s">
        <v>29</v>
      </c>
      <c r="B12">
        <v>1</v>
      </c>
      <c r="C12" t="s">
        <v>34</v>
      </c>
      <c r="D12" t="s">
        <v>35</v>
      </c>
      <c r="E12" s="2">
        <v>0</v>
      </c>
      <c r="F12">
        <v>0</v>
      </c>
      <c r="G12">
        <v>0</v>
      </c>
      <c r="H12">
        <v>0</v>
      </c>
      <c r="I12" t="s">
        <v>32</v>
      </c>
      <c r="J12">
        <v>0</v>
      </c>
      <c r="M12" t="s">
        <v>35</v>
      </c>
      <c r="N12">
        <v>29</v>
      </c>
      <c r="R12" t="s">
        <v>31</v>
      </c>
      <c r="S12">
        <v>6</v>
      </c>
      <c r="W12">
        <v>150</v>
      </c>
      <c r="Y12" s="11" t="s">
        <v>102</v>
      </c>
      <c r="Z12">
        <v>82</v>
      </c>
      <c r="AA12">
        <v>45</v>
      </c>
    </row>
    <row r="13" spans="1:27" x14ac:dyDescent="0.25">
      <c r="A13" t="s">
        <v>29</v>
      </c>
      <c r="B13">
        <v>1</v>
      </c>
      <c r="C13" t="s">
        <v>34</v>
      </c>
      <c r="D13" t="s">
        <v>35</v>
      </c>
      <c r="E13" s="2">
        <v>0</v>
      </c>
      <c r="F13">
        <v>0</v>
      </c>
      <c r="G13">
        <v>0</v>
      </c>
      <c r="H13">
        <v>0</v>
      </c>
      <c r="I13" t="s">
        <v>32</v>
      </c>
      <c r="J13">
        <v>0</v>
      </c>
      <c r="M13" t="s">
        <v>35</v>
      </c>
      <c r="N13">
        <v>7</v>
      </c>
      <c r="R13" t="s">
        <v>31</v>
      </c>
      <c r="S13">
        <v>72</v>
      </c>
      <c r="W13">
        <v>1000</v>
      </c>
      <c r="Y13" s="11" t="s">
        <v>103</v>
      </c>
      <c r="Z13">
        <v>22</v>
      </c>
      <c r="AA13">
        <v>19</v>
      </c>
    </row>
    <row r="14" spans="1:27" x14ac:dyDescent="0.25">
      <c r="A14" t="s">
        <v>29</v>
      </c>
      <c r="B14">
        <v>1</v>
      </c>
      <c r="C14" t="s">
        <v>34</v>
      </c>
      <c r="D14" t="s">
        <v>35</v>
      </c>
      <c r="E14" s="2">
        <v>0</v>
      </c>
      <c r="F14">
        <v>0</v>
      </c>
      <c r="G14">
        <v>0</v>
      </c>
      <c r="H14">
        <v>0</v>
      </c>
      <c r="I14" t="s">
        <v>32</v>
      </c>
      <c r="J14">
        <v>0</v>
      </c>
      <c r="M14" t="s">
        <v>35</v>
      </c>
      <c r="N14">
        <v>7</v>
      </c>
      <c r="R14" t="s">
        <v>31</v>
      </c>
      <c r="S14">
        <v>20</v>
      </c>
    </row>
    <row r="15" spans="1:27" x14ac:dyDescent="0.25">
      <c r="A15" t="s">
        <v>29</v>
      </c>
      <c r="B15">
        <v>1</v>
      </c>
      <c r="C15" t="s">
        <v>34</v>
      </c>
      <c r="D15" t="s">
        <v>35</v>
      </c>
      <c r="E15" s="2">
        <v>0</v>
      </c>
      <c r="F15">
        <v>0</v>
      </c>
      <c r="G15">
        <v>0</v>
      </c>
      <c r="H15">
        <v>0</v>
      </c>
      <c r="I15" t="s">
        <v>32</v>
      </c>
      <c r="J15">
        <v>0</v>
      </c>
      <c r="M15" t="s">
        <v>35</v>
      </c>
      <c r="N15">
        <v>0</v>
      </c>
      <c r="R15" t="s">
        <v>31</v>
      </c>
      <c r="S15">
        <v>52</v>
      </c>
      <c r="Y15" s="11"/>
    </row>
    <row r="16" spans="1:27" x14ac:dyDescent="0.25">
      <c r="A16" t="s">
        <v>29</v>
      </c>
      <c r="B16">
        <v>1</v>
      </c>
      <c r="C16" t="s">
        <v>34</v>
      </c>
      <c r="D16" t="s">
        <v>35</v>
      </c>
      <c r="E16" s="2">
        <v>0</v>
      </c>
      <c r="F16">
        <v>0</v>
      </c>
      <c r="G16">
        <v>0</v>
      </c>
      <c r="H16">
        <v>0</v>
      </c>
      <c r="I16" t="s">
        <v>32</v>
      </c>
      <c r="J16">
        <v>0</v>
      </c>
      <c r="M16" t="s">
        <v>35</v>
      </c>
      <c r="N16">
        <v>0</v>
      </c>
      <c r="R16" t="s">
        <v>31</v>
      </c>
      <c r="S16">
        <v>70</v>
      </c>
      <c r="Y16" s="11"/>
    </row>
    <row r="17" spans="1:86" x14ac:dyDescent="0.25">
      <c r="A17" t="s">
        <v>29</v>
      </c>
      <c r="B17">
        <v>1</v>
      </c>
      <c r="C17" t="s">
        <v>34</v>
      </c>
      <c r="D17" t="s">
        <v>35</v>
      </c>
      <c r="E17" s="2">
        <v>0</v>
      </c>
      <c r="F17">
        <v>0</v>
      </c>
      <c r="G17">
        <v>0</v>
      </c>
      <c r="H17">
        <v>0</v>
      </c>
      <c r="I17" t="s">
        <v>32</v>
      </c>
      <c r="J17">
        <v>0</v>
      </c>
      <c r="M17" t="s">
        <v>35</v>
      </c>
      <c r="N17">
        <v>14</v>
      </c>
      <c r="R17" t="s">
        <v>31</v>
      </c>
      <c r="S17">
        <v>71</v>
      </c>
      <c r="Y17" s="11"/>
    </row>
    <row r="18" spans="1:86" x14ac:dyDescent="0.25">
      <c r="A18" t="s">
        <v>29</v>
      </c>
      <c r="B18">
        <v>1</v>
      </c>
      <c r="C18" t="s">
        <v>34</v>
      </c>
      <c r="D18" t="s">
        <v>35</v>
      </c>
      <c r="E18" s="2">
        <v>0</v>
      </c>
      <c r="F18">
        <v>0</v>
      </c>
      <c r="G18">
        <v>0</v>
      </c>
      <c r="H18">
        <v>0</v>
      </c>
      <c r="I18" t="s">
        <v>32</v>
      </c>
      <c r="J18">
        <v>0</v>
      </c>
      <c r="M18" t="s">
        <v>35</v>
      </c>
      <c r="N18">
        <v>48</v>
      </c>
      <c r="R18" t="s">
        <v>31</v>
      </c>
      <c r="S18">
        <v>46</v>
      </c>
      <c r="Y18" s="11"/>
    </row>
    <row r="19" spans="1:86" x14ac:dyDescent="0.25">
      <c r="A19" t="s">
        <v>29</v>
      </c>
      <c r="B19">
        <v>1</v>
      </c>
      <c r="C19" t="s">
        <v>34</v>
      </c>
      <c r="D19" t="s">
        <v>35</v>
      </c>
      <c r="E19" s="2">
        <v>0</v>
      </c>
      <c r="F19">
        <v>0</v>
      </c>
      <c r="G19">
        <v>0</v>
      </c>
      <c r="H19">
        <v>0</v>
      </c>
      <c r="I19" t="s">
        <v>32</v>
      </c>
      <c r="J19">
        <v>0</v>
      </c>
      <c r="M19" t="s">
        <v>35</v>
      </c>
      <c r="N19">
        <v>6</v>
      </c>
      <c r="R19" t="s">
        <v>31</v>
      </c>
      <c r="S19">
        <v>23</v>
      </c>
      <c r="Y19" s="11"/>
    </row>
    <row r="20" spans="1:86" x14ac:dyDescent="0.25">
      <c r="A20" t="s">
        <v>29</v>
      </c>
      <c r="B20">
        <v>1</v>
      </c>
      <c r="C20" t="s">
        <v>34</v>
      </c>
      <c r="D20" t="s">
        <v>35</v>
      </c>
      <c r="E20" s="2">
        <v>0</v>
      </c>
      <c r="F20">
        <v>0</v>
      </c>
      <c r="G20">
        <v>0</v>
      </c>
      <c r="H20">
        <v>0</v>
      </c>
      <c r="I20" t="s">
        <v>32</v>
      </c>
      <c r="J20">
        <v>0</v>
      </c>
      <c r="M20" t="s">
        <v>35</v>
      </c>
      <c r="N20">
        <v>0</v>
      </c>
      <c r="R20" t="s">
        <v>31</v>
      </c>
      <c r="S20">
        <v>17</v>
      </c>
      <c r="Y20" s="11"/>
      <c r="CB20" s="7" t="s">
        <v>160</v>
      </c>
      <c r="CC20" s="2"/>
    </row>
    <row r="21" spans="1:86" x14ac:dyDescent="0.25">
      <c r="A21" t="s">
        <v>29</v>
      </c>
      <c r="B21">
        <v>1</v>
      </c>
      <c r="C21" t="s">
        <v>34</v>
      </c>
      <c r="D21" t="s">
        <v>35</v>
      </c>
      <c r="E21" s="2">
        <v>0</v>
      </c>
      <c r="F21">
        <v>0</v>
      </c>
      <c r="G21">
        <v>0</v>
      </c>
      <c r="H21">
        <v>0</v>
      </c>
      <c r="I21" t="s">
        <v>32</v>
      </c>
      <c r="J21">
        <v>0</v>
      </c>
      <c r="M21" t="s">
        <v>35</v>
      </c>
      <c r="N21">
        <v>7</v>
      </c>
      <c r="R21" t="s">
        <v>31</v>
      </c>
      <c r="S21">
        <v>66</v>
      </c>
      <c r="BI21" t="s">
        <v>153</v>
      </c>
    </row>
    <row r="22" spans="1:86" x14ac:dyDescent="0.25">
      <c r="A22" t="s">
        <v>29</v>
      </c>
      <c r="B22">
        <v>1</v>
      </c>
      <c r="C22" t="s">
        <v>34</v>
      </c>
      <c r="D22" t="s">
        <v>35</v>
      </c>
      <c r="E22" s="2">
        <v>0</v>
      </c>
      <c r="F22">
        <v>0</v>
      </c>
      <c r="G22">
        <v>0</v>
      </c>
      <c r="H22">
        <v>0</v>
      </c>
      <c r="I22" t="s">
        <v>32</v>
      </c>
      <c r="J22">
        <v>0</v>
      </c>
      <c r="M22" t="s">
        <v>35</v>
      </c>
      <c r="N22">
        <v>63</v>
      </c>
      <c r="R22" t="s">
        <v>31</v>
      </c>
      <c r="S22">
        <v>96</v>
      </c>
      <c r="X22" s="35" t="s">
        <v>147</v>
      </c>
      <c r="Y22" s="35" t="s">
        <v>152</v>
      </c>
      <c r="CB22" s="42" t="s">
        <v>159</v>
      </c>
      <c r="CC22" s="42"/>
      <c r="CD22" s="42"/>
      <c r="CE22" s="42"/>
      <c r="CF22" s="42"/>
      <c r="CG22" s="42"/>
      <c r="CH22" s="42"/>
    </row>
    <row r="23" spans="1:86" x14ac:dyDescent="0.25">
      <c r="A23" t="s">
        <v>29</v>
      </c>
      <c r="B23">
        <v>1</v>
      </c>
      <c r="C23" t="s">
        <v>34</v>
      </c>
      <c r="D23" t="s">
        <v>35</v>
      </c>
      <c r="E23" s="2">
        <v>0</v>
      </c>
      <c r="F23">
        <v>0</v>
      </c>
      <c r="G23">
        <v>0</v>
      </c>
      <c r="H23">
        <v>0</v>
      </c>
      <c r="I23" t="s">
        <v>32</v>
      </c>
      <c r="J23">
        <v>0</v>
      </c>
      <c r="M23" t="s">
        <v>35</v>
      </c>
      <c r="N23">
        <v>12</v>
      </c>
      <c r="R23" t="s">
        <v>31</v>
      </c>
      <c r="S23">
        <v>112</v>
      </c>
      <c r="X23" s="35" t="s">
        <v>145</v>
      </c>
      <c r="Y23" t="s">
        <v>66</v>
      </c>
      <c r="Z23" t="s">
        <v>67</v>
      </c>
      <c r="AA23" t="s">
        <v>64</v>
      </c>
      <c r="AB23" t="s">
        <v>65</v>
      </c>
      <c r="AC23" t="s">
        <v>69</v>
      </c>
      <c r="AD23" t="s">
        <v>70</v>
      </c>
      <c r="AE23" t="s">
        <v>74</v>
      </c>
      <c r="AF23" t="s">
        <v>75</v>
      </c>
      <c r="AG23" t="s">
        <v>72</v>
      </c>
      <c r="AH23" t="s">
        <v>73</v>
      </c>
      <c r="AI23" t="s">
        <v>76</v>
      </c>
      <c r="AJ23" t="s">
        <v>77</v>
      </c>
      <c r="AK23" t="s">
        <v>43</v>
      </c>
      <c r="AL23" t="s">
        <v>48</v>
      </c>
      <c r="AM23" t="s">
        <v>44</v>
      </c>
      <c r="AN23" t="s">
        <v>45</v>
      </c>
      <c r="AO23" t="s">
        <v>46</v>
      </c>
      <c r="AP23" t="s">
        <v>49</v>
      </c>
      <c r="AQ23" t="s">
        <v>50</v>
      </c>
      <c r="AR23" t="s">
        <v>51</v>
      </c>
      <c r="AS23" t="s">
        <v>53</v>
      </c>
      <c r="AT23" t="s">
        <v>47</v>
      </c>
      <c r="AU23" t="s">
        <v>55</v>
      </c>
      <c r="AV23" t="s">
        <v>56</v>
      </c>
      <c r="AW23" t="s">
        <v>61</v>
      </c>
      <c r="AX23" t="s">
        <v>62</v>
      </c>
      <c r="AY23" t="s">
        <v>31</v>
      </c>
      <c r="AZ23" t="s">
        <v>35</v>
      </c>
      <c r="BA23" t="s">
        <v>36</v>
      </c>
      <c r="BB23" t="s">
        <v>37</v>
      </c>
      <c r="BC23" t="s">
        <v>38</v>
      </c>
      <c r="BD23" t="s">
        <v>39</v>
      </c>
      <c r="BE23" t="s">
        <v>40</v>
      </c>
      <c r="BF23" t="s">
        <v>41</v>
      </c>
      <c r="BG23" t="s">
        <v>146</v>
      </c>
      <c r="BI23" s="39" t="s">
        <v>30</v>
      </c>
      <c r="BJ23" s="38" t="s">
        <v>66</v>
      </c>
      <c r="BK23" s="38" t="s">
        <v>64</v>
      </c>
      <c r="BL23" s="38" t="s">
        <v>69</v>
      </c>
      <c r="BM23" s="38" t="s">
        <v>74</v>
      </c>
      <c r="BN23" s="38" t="s">
        <v>72</v>
      </c>
      <c r="BO23" s="38" t="s">
        <v>76</v>
      </c>
      <c r="BP23" s="38" t="s">
        <v>43</v>
      </c>
      <c r="BQ23" s="38" t="s">
        <v>45</v>
      </c>
      <c r="BR23" s="38" t="s">
        <v>49</v>
      </c>
      <c r="BS23" s="38" t="s">
        <v>51</v>
      </c>
      <c r="BT23" s="38" t="s">
        <v>47</v>
      </c>
      <c r="BU23" s="38" t="s">
        <v>55</v>
      </c>
      <c r="BV23" s="38" t="s">
        <v>61</v>
      </c>
      <c r="BW23" s="38" t="s">
        <v>31</v>
      </c>
      <c r="BX23" s="38" t="s">
        <v>36</v>
      </c>
      <c r="BY23" s="38" t="s">
        <v>38</v>
      </c>
      <c r="BZ23" s="38" t="s">
        <v>40</v>
      </c>
      <c r="CA23" s="40"/>
      <c r="CB23" s="42" t="s">
        <v>154</v>
      </c>
      <c r="CC23" s="43" t="s">
        <v>120</v>
      </c>
      <c r="CD23" s="43" t="s">
        <v>155</v>
      </c>
      <c r="CE23" s="44" t="s">
        <v>156</v>
      </c>
      <c r="CF23" s="44" t="s">
        <v>119</v>
      </c>
      <c r="CG23" s="42" t="s">
        <v>130</v>
      </c>
      <c r="CH23" s="42" t="s">
        <v>131</v>
      </c>
    </row>
    <row r="24" spans="1:86" x14ac:dyDescent="0.25">
      <c r="A24" t="s">
        <v>29</v>
      </c>
      <c r="B24">
        <v>1</v>
      </c>
      <c r="C24" t="s">
        <v>34</v>
      </c>
      <c r="D24" t="s">
        <v>35</v>
      </c>
      <c r="E24" s="2">
        <v>0</v>
      </c>
      <c r="F24">
        <v>0</v>
      </c>
      <c r="G24">
        <v>0</v>
      </c>
      <c r="H24">
        <v>0</v>
      </c>
      <c r="I24" t="s">
        <v>32</v>
      </c>
      <c r="J24">
        <v>0</v>
      </c>
      <c r="M24" t="s">
        <v>35</v>
      </c>
      <c r="N24">
        <v>6</v>
      </c>
      <c r="R24" t="s">
        <v>31</v>
      </c>
      <c r="S24">
        <v>7</v>
      </c>
      <c r="X24" s="36" t="s">
        <v>30</v>
      </c>
      <c r="Y24">
        <v>4</v>
      </c>
      <c r="AA24">
        <v>26</v>
      </c>
      <c r="AC24">
        <v>14</v>
      </c>
      <c r="AE24">
        <v>17</v>
      </c>
      <c r="AG24">
        <v>9</v>
      </c>
      <c r="AI24">
        <v>41</v>
      </c>
      <c r="AK24">
        <v>38</v>
      </c>
      <c r="AN24">
        <v>20</v>
      </c>
      <c r="AP24">
        <v>73</v>
      </c>
      <c r="AR24">
        <v>75</v>
      </c>
      <c r="AT24">
        <v>45</v>
      </c>
      <c r="AU24">
        <v>55</v>
      </c>
      <c r="AW24">
        <v>76</v>
      </c>
      <c r="AY24">
        <v>55</v>
      </c>
      <c r="BA24">
        <v>66</v>
      </c>
      <c r="BC24">
        <v>73</v>
      </c>
      <c r="BE24">
        <v>92</v>
      </c>
      <c r="BG24">
        <v>779</v>
      </c>
      <c r="BI24" s="37">
        <v>0</v>
      </c>
      <c r="BJ24">
        <v>0</v>
      </c>
      <c r="BK24">
        <v>14</v>
      </c>
      <c r="BL24">
        <v>5</v>
      </c>
      <c r="BM24">
        <v>3</v>
      </c>
      <c r="BN24">
        <v>0</v>
      </c>
      <c r="BO24">
        <v>2</v>
      </c>
      <c r="BP24">
        <v>10</v>
      </c>
      <c r="BQ24">
        <v>4</v>
      </c>
      <c r="BR24">
        <v>32</v>
      </c>
      <c r="BS24">
        <v>33</v>
      </c>
      <c r="BT24">
        <v>19</v>
      </c>
      <c r="BU24">
        <v>18</v>
      </c>
      <c r="BV24">
        <v>28</v>
      </c>
      <c r="BW24">
        <v>9</v>
      </c>
      <c r="BX24">
        <v>17</v>
      </c>
      <c r="BY24">
        <v>19</v>
      </c>
      <c r="BZ24">
        <v>37</v>
      </c>
      <c r="CB24" s="42">
        <f>AVERAGE(BJ24:BZ24)</f>
        <v>14.705882352941176</v>
      </c>
      <c r="CC24" s="43">
        <v>0.5</v>
      </c>
      <c r="CD24" s="43">
        <f>_xlfn.STDEV.P(BJ24:BZ24)</f>
        <v>11.771174692154474</v>
      </c>
      <c r="CE24" s="44">
        <f>SUM(BJ24:BZ24)</f>
        <v>250</v>
      </c>
      <c r="CF24" s="44">
        <f>CONFIDENCE(CC24,CD24,CE24)</f>
        <v>0.50214038935486538</v>
      </c>
      <c r="CG24" s="42">
        <f>CB24+CF24</f>
        <v>15.208022742296041</v>
      </c>
      <c r="CH24" s="42">
        <f>CB24-CF24</f>
        <v>14.20374196358631</v>
      </c>
    </row>
    <row r="25" spans="1:86" x14ac:dyDescent="0.25">
      <c r="A25" t="s">
        <v>29</v>
      </c>
      <c r="B25">
        <v>1</v>
      </c>
      <c r="C25" t="s">
        <v>34</v>
      </c>
      <c r="D25" t="s">
        <v>35</v>
      </c>
      <c r="E25" s="2">
        <v>0</v>
      </c>
      <c r="F25">
        <v>0</v>
      </c>
      <c r="G25">
        <v>0</v>
      </c>
      <c r="H25">
        <v>0</v>
      </c>
      <c r="I25" t="s">
        <v>32</v>
      </c>
      <c r="J25">
        <v>0</v>
      </c>
      <c r="M25" t="s">
        <v>35</v>
      </c>
      <c r="N25">
        <v>26</v>
      </c>
      <c r="R25" t="s">
        <v>31</v>
      </c>
      <c r="S25">
        <v>36</v>
      </c>
      <c r="X25" s="37">
        <v>0</v>
      </c>
      <c r="AA25">
        <v>14</v>
      </c>
      <c r="AC25">
        <v>5</v>
      </c>
      <c r="AE25">
        <v>3</v>
      </c>
      <c r="AI25">
        <v>2</v>
      </c>
      <c r="AK25">
        <v>10</v>
      </c>
      <c r="AN25">
        <v>4</v>
      </c>
      <c r="AP25">
        <v>32</v>
      </c>
      <c r="AR25">
        <v>33</v>
      </c>
      <c r="AT25">
        <v>19</v>
      </c>
      <c r="AU25">
        <v>18</v>
      </c>
      <c r="AW25">
        <v>28</v>
      </c>
      <c r="AY25">
        <v>9</v>
      </c>
      <c r="BA25">
        <v>17</v>
      </c>
      <c r="BC25">
        <v>19</v>
      </c>
      <c r="BE25">
        <v>37</v>
      </c>
      <c r="BG25">
        <v>250</v>
      </c>
      <c r="BI25" s="37" t="s">
        <v>148</v>
      </c>
      <c r="BJ25">
        <v>2</v>
      </c>
      <c r="BK25">
        <v>5</v>
      </c>
      <c r="BL25">
        <v>0</v>
      </c>
      <c r="BM25">
        <v>5</v>
      </c>
      <c r="BN25">
        <v>1</v>
      </c>
      <c r="BO25">
        <v>5</v>
      </c>
      <c r="BP25">
        <v>7</v>
      </c>
      <c r="BQ25">
        <v>1</v>
      </c>
      <c r="BR25">
        <v>17</v>
      </c>
      <c r="BS25">
        <v>10</v>
      </c>
      <c r="BT25">
        <v>7</v>
      </c>
      <c r="BU25">
        <v>11</v>
      </c>
      <c r="BV25">
        <v>15</v>
      </c>
      <c r="BW25">
        <v>6</v>
      </c>
      <c r="BX25">
        <v>15</v>
      </c>
      <c r="BY25">
        <v>13</v>
      </c>
      <c r="BZ25">
        <v>19</v>
      </c>
      <c r="CB25" s="42">
        <f t="shared" ref="CB25:CB44" si="0">AVERAGE(BJ25:BZ25)</f>
        <v>8.1764705882352935</v>
      </c>
      <c r="CC25" s="43">
        <v>0.5</v>
      </c>
      <c r="CD25" s="43">
        <f t="shared" ref="CD25:CD44" si="1">_xlfn.STDEV.P(BJ25:BZ25)</f>
        <v>5.7826850482091805</v>
      </c>
      <c r="CE25" s="44">
        <f t="shared" ref="CE25:CE44" si="2">SUM(BJ25:BZ25)</f>
        <v>139</v>
      </c>
      <c r="CF25" s="44">
        <f t="shared" ref="CF25:CF44" si="3">CONFIDENCE(CC25,CD25,CE25)</f>
        <v>0.3308243695103027</v>
      </c>
      <c r="CG25" s="42">
        <f t="shared" ref="CG25:CG44" si="4">CB25+CF25</f>
        <v>8.5072949577455965</v>
      </c>
      <c r="CH25" s="42">
        <f t="shared" ref="CH25:CH44" si="5">CB25-CF25</f>
        <v>7.8456462187249905</v>
      </c>
    </row>
    <row r="26" spans="1:86" x14ac:dyDescent="0.25">
      <c r="A26" t="s">
        <v>29</v>
      </c>
      <c r="B26">
        <v>1</v>
      </c>
      <c r="C26" t="s">
        <v>34</v>
      </c>
      <c r="D26" t="s">
        <v>35</v>
      </c>
      <c r="E26" s="2">
        <v>0</v>
      </c>
      <c r="F26">
        <v>0</v>
      </c>
      <c r="G26">
        <v>0</v>
      </c>
      <c r="H26">
        <v>0</v>
      </c>
      <c r="I26" t="s">
        <v>32</v>
      </c>
      <c r="J26">
        <v>0</v>
      </c>
      <c r="M26" t="s">
        <v>35</v>
      </c>
      <c r="N26">
        <v>58</v>
      </c>
      <c r="R26" t="s">
        <v>31</v>
      </c>
      <c r="S26">
        <v>85</v>
      </c>
      <c r="X26" s="37" t="s">
        <v>144</v>
      </c>
      <c r="AA26">
        <v>2</v>
      </c>
      <c r="AC26">
        <v>2</v>
      </c>
      <c r="AG26">
        <v>1</v>
      </c>
      <c r="AI26">
        <v>9</v>
      </c>
      <c r="AK26">
        <v>3</v>
      </c>
      <c r="AN26">
        <v>1</v>
      </c>
      <c r="AP26">
        <v>7</v>
      </c>
      <c r="AR26">
        <v>5</v>
      </c>
      <c r="AT26">
        <v>3</v>
      </c>
      <c r="AU26">
        <v>2</v>
      </c>
      <c r="AW26">
        <v>5</v>
      </c>
      <c r="AY26">
        <v>3</v>
      </c>
      <c r="BC26">
        <v>1</v>
      </c>
      <c r="BE26">
        <v>1</v>
      </c>
      <c r="BG26">
        <v>45</v>
      </c>
      <c r="BI26" s="37" t="s">
        <v>149</v>
      </c>
      <c r="BJ26">
        <v>1</v>
      </c>
      <c r="BK26">
        <v>0</v>
      </c>
      <c r="BL26">
        <v>0</v>
      </c>
      <c r="BM26">
        <v>2</v>
      </c>
      <c r="BN26">
        <v>3</v>
      </c>
      <c r="BO26">
        <v>3</v>
      </c>
      <c r="BP26">
        <v>12</v>
      </c>
      <c r="BQ26">
        <v>4</v>
      </c>
      <c r="BR26">
        <v>6</v>
      </c>
      <c r="BS26">
        <v>3</v>
      </c>
      <c r="BT26">
        <v>6</v>
      </c>
      <c r="BU26">
        <v>11</v>
      </c>
      <c r="BV26">
        <v>4</v>
      </c>
      <c r="BW26">
        <v>6</v>
      </c>
      <c r="BX26">
        <v>10</v>
      </c>
      <c r="BY26">
        <v>10</v>
      </c>
      <c r="BZ26">
        <v>10</v>
      </c>
      <c r="CB26" s="42">
        <f t="shared" si="0"/>
        <v>5.3529411764705879</v>
      </c>
      <c r="CC26" s="43">
        <v>0.5</v>
      </c>
      <c r="CD26" s="43">
        <f t="shared" si="1"/>
        <v>3.8339225263059586</v>
      </c>
      <c r="CE26" s="44">
        <f t="shared" si="2"/>
        <v>91</v>
      </c>
      <c r="CF26" s="44">
        <f t="shared" si="3"/>
        <v>0.27108032075819682</v>
      </c>
      <c r="CG26" s="42">
        <f t="shared" si="4"/>
        <v>5.6240214972287843</v>
      </c>
      <c r="CH26" s="42">
        <f t="shared" si="5"/>
        <v>5.0818608557123914</v>
      </c>
    </row>
    <row r="27" spans="1:86" x14ac:dyDescent="0.25">
      <c r="A27" t="s">
        <v>29</v>
      </c>
      <c r="B27">
        <v>1</v>
      </c>
      <c r="C27" t="s">
        <v>34</v>
      </c>
      <c r="D27" t="s">
        <v>35</v>
      </c>
      <c r="E27" s="2">
        <v>0</v>
      </c>
      <c r="F27">
        <v>0</v>
      </c>
      <c r="G27">
        <v>0</v>
      </c>
      <c r="H27">
        <v>0</v>
      </c>
      <c r="I27" t="s">
        <v>32</v>
      </c>
      <c r="J27">
        <v>0</v>
      </c>
      <c r="M27" t="s">
        <v>35</v>
      </c>
      <c r="N27">
        <v>36</v>
      </c>
      <c r="R27" t="s">
        <v>31</v>
      </c>
      <c r="S27">
        <v>74</v>
      </c>
      <c r="X27" s="37" t="s">
        <v>103</v>
      </c>
      <c r="Y27">
        <v>1</v>
      </c>
      <c r="AC27">
        <v>2</v>
      </c>
      <c r="AE27">
        <v>1</v>
      </c>
      <c r="AG27">
        <v>2</v>
      </c>
      <c r="AI27">
        <v>3</v>
      </c>
      <c r="AN27">
        <v>1</v>
      </c>
      <c r="AP27">
        <v>2</v>
      </c>
      <c r="AR27">
        <v>4</v>
      </c>
      <c r="AT27">
        <v>2</v>
      </c>
      <c r="AU27">
        <v>1</v>
      </c>
      <c r="BG27">
        <v>19</v>
      </c>
      <c r="BI27" s="37" t="s">
        <v>139</v>
      </c>
      <c r="BJ27">
        <v>0</v>
      </c>
      <c r="BK27">
        <v>1</v>
      </c>
      <c r="BL27">
        <v>0</v>
      </c>
      <c r="BM27">
        <v>0</v>
      </c>
      <c r="BN27">
        <v>0</v>
      </c>
      <c r="BO27">
        <v>4</v>
      </c>
      <c r="BP27">
        <v>1</v>
      </c>
      <c r="BQ27">
        <v>3</v>
      </c>
      <c r="BR27">
        <v>3</v>
      </c>
      <c r="BS27">
        <v>2</v>
      </c>
      <c r="BT27">
        <v>1</v>
      </c>
      <c r="BU27">
        <v>3</v>
      </c>
      <c r="BV27">
        <v>1</v>
      </c>
      <c r="BW27">
        <v>5</v>
      </c>
      <c r="BX27">
        <v>5</v>
      </c>
      <c r="BY27">
        <v>10</v>
      </c>
      <c r="BZ27">
        <v>4</v>
      </c>
      <c r="CB27" s="42">
        <f t="shared" si="0"/>
        <v>2.5294117647058822</v>
      </c>
      <c r="CC27" s="43">
        <v>0.5</v>
      </c>
      <c r="CD27" s="43">
        <f t="shared" si="1"/>
        <v>2.5232483046502607</v>
      </c>
      <c r="CE27" s="44">
        <f t="shared" si="2"/>
        <v>43</v>
      </c>
      <c r="CF27" s="44">
        <f t="shared" si="3"/>
        <v>0.25953809744139372</v>
      </c>
      <c r="CG27" s="42">
        <f t="shared" si="4"/>
        <v>2.7889498621472759</v>
      </c>
      <c r="CH27" s="42">
        <f t="shared" si="5"/>
        <v>2.2698736672644886</v>
      </c>
    </row>
    <row r="28" spans="1:86" x14ac:dyDescent="0.25">
      <c r="A28" t="s">
        <v>29</v>
      </c>
      <c r="B28">
        <v>1</v>
      </c>
      <c r="C28" t="s">
        <v>34</v>
      </c>
      <c r="D28" t="s">
        <v>35</v>
      </c>
      <c r="E28" s="2">
        <v>0</v>
      </c>
      <c r="F28">
        <v>0</v>
      </c>
      <c r="G28">
        <v>0</v>
      </c>
      <c r="H28">
        <v>0</v>
      </c>
      <c r="I28" t="s">
        <v>32</v>
      </c>
      <c r="J28">
        <v>0</v>
      </c>
      <c r="M28" t="s">
        <v>35</v>
      </c>
      <c r="N28">
        <v>75</v>
      </c>
      <c r="R28" t="s">
        <v>31</v>
      </c>
      <c r="S28">
        <v>12</v>
      </c>
      <c r="X28" s="37" t="s">
        <v>139</v>
      </c>
      <c r="AA28">
        <v>1</v>
      </c>
      <c r="AI28">
        <v>4</v>
      </c>
      <c r="AK28">
        <v>1</v>
      </c>
      <c r="AN28">
        <v>3</v>
      </c>
      <c r="AP28">
        <v>3</v>
      </c>
      <c r="AR28">
        <v>2</v>
      </c>
      <c r="AT28">
        <v>1</v>
      </c>
      <c r="AU28">
        <v>3</v>
      </c>
      <c r="AW28">
        <v>1</v>
      </c>
      <c r="AY28">
        <v>5</v>
      </c>
      <c r="BA28">
        <v>5</v>
      </c>
      <c r="BC28">
        <v>10</v>
      </c>
      <c r="BE28">
        <v>4</v>
      </c>
      <c r="BG28">
        <v>43</v>
      </c>
      <c r="BI28" s="37" t="s">
        <v>140</v>
      </c>
      <c r="BJ28">
        <v>0</v>
      </c>
      <c r="BK28">
        <v>1</v>
      </c>
      <c r="BL28">
        <v>1</v>
      </c>
      <c r="BM28">
        <v>0</v>
      </c>
      <c r="BN28">
        <v>0</v>
      </c>
      <c r="BO28">
        <v>1</v>
      </c>
      <c r="BP28">
        <v>1</v>
      </c>
      <c r="BQ28">
        <v>2</v>
      </c>
      <c r="BR28">
        <v>0</v>
      </c>
      <c r="BS28">
        <v>3</v>
      </c>
      <c r="BT28">
        <v>2</v>
      </c>
      <c r="BU28">
        <v>2</v>
      </c>
      <c r="BV28">
        <v>5</v>
      </c>
      <c r="BW28">
        <v>5</v>
      </c>
      <c r="BX28">
        <v>5</v>
      </c>
      <c r="BY28">
        <v>7</v>
      </c>
      <c r="BZ28">
        <v>8</v>
      </c>
      <c r="CB28" s="42">
        <f t="shared" si="0"/>
        <v>2.5294117647058822</v>
      </c>
      <c r="CC28" s="43">
        <v>0.5</v>
      </c>
      <c r="CD28" s="43">
        <f t="shared" si="1"/>
        <v>2.4761841388057868</v>
      </c>
      <c r="CE28" s="44">
        <f t="shared" si="2"/>
        <v>43</v>
      </c>
      <c r="CF28" s="44">
        <f t="shared" si="3"/>
        <v>0.25469713746197781</v>
      </c>
      <c r="CG28" s="42">
        <f t="shared" si="4"/>
        <v>2.7841089021678602</v>
      </c>
      <c r="CH28" s="42">
        <f t="shared" si="5"/>
        <v>2.2747146272439043</v>
      </c>
    </row>
    <row r="29" spans="1:86" x14ac:dyDescent="0.25">
      <c r="A29" t="s">
        <v>29</v>
      </c>
      <c r="B29">
        <v>1</v>
      </c>
      <c r="C29" t="s">
        <v>34</v>
      </c>
      <c r="D29" t="s">
        <v>35</v>
      </c>
      <c r="E29" s="2">
        <v>0</v>
      </c>
      <c r="F29">
        <v>0</v>
      </c>
      <c r="G29">
        <v>0</v>
      </c>
      <c r="H29">
        <v>0</v>
      </c>
      <c r="I29" t="s">
        <v>32</v>
      </c>
      <c r="J29">
        <v>0</v>
      </c>
      <c r="M29" t="s">
        <v>35</v>
      </c>
      <c r="N29">
        <v>61</v>
      </c>
      <c r="R29" t="s">
        <v>31</v>
      </c>
      <c r="S29">
        <v>48</v>
      </c>
      <c r="X29" s="37" t="s">
        <v>140</v>
      </c>
      <c r="AA29">
        <v>1</v>
      </c>
      <c r="AC29">
        <v>1</v>
      </c>
      <c r="AI29">
        <v>1</v>
      </c>
      <c r="AK29">
        <v>1</v>
      </c>
      <c r="AN29">
        <v>2</v>
      </c>
      <c r="AR29">
        <v>3</v>
      </c>
      <c r="AT29">
        <v>2</v>
      </c>
      <c r="AU29">
        <v>2</v>
      </c>
      <c r="AW29">
        <v>5</v>
      </c>
      <c r="AY29">
        <v>5</v>
      </c>
      <c r="BA29">
        <v>5</v>
      </c>
      <c r="BC29">
        <v>7</v>
      </c>
      <c r="BE29">
        <v>8</v>
      </c>
      <c r="BG29">
        <v>43</v>
      </c>
      <c r="BI29" s="37" t="s">
        <v>141</v>
      </c>
      <c r="BJ29">
        <v>0</v>
      </c>
      <c r="BK29">
        <v>3</v>
      </c>
      <c r="BL29">
        <v>1</v>
      </c>
      <c r="BM29">
        <v>1</v>
      </c>
      <c r="BN29">
        <v>0</v>
      </c>
      <c r="BO29">
        <v>1</v>
      </c>
      <c r="BP29">
        <v>0</v>
      </c>
      <c r="BQ29">
        <v>1</v>
      </c>
      <c r="BR29">
        <v>2</v>
      </c>
      <c r="BS29">
        <v>3</v>
      </c>
      <c r="BT29">
        <v>0</v>
      </c>
      <c r="BU29">
        <v>1</v>
      </c>
      <c r="BV29">
        <v>8</v>
      </c>
      <c r="BW29">
        <v>4</v>
      </c>
      <c r="BX29">
        <v>10</v>
      </c>
      <c r="BY29">
        <v>6</v>
      </c>
      <c r="BZ29">
        <v>4</v>
      </c>
      <c r="CB29" s="42">
        <f t="shared" si="0"/>
        <v>2.6470588235294117</v>
      </c>
      <c r="CC29" s="43">
        <v>0.5</v>
      </c>
      <c r="CD29" s="43">
        <f t="shared" si="1"/>
        <v>2.8685141977027313</v>
      </c>
      <c r="CE29" s="44">
        <f t="shared" si="2"/>
        <v>45</v>
      </c>
      <c r="CF29" s="44">
        <f t="shared" si="3"/>
        <v>0.28842048394935427</v>
      </c>
      <c r="CG29" s="42">
        <f t="shared" si="4"/>
        <v>2.935479307478766</v>
      </c>
      <c r="CH29" s="42">
        <f t="shared" si="5"/>
        <v>2.3586383395800574</v>
      </c>
    </row>
    <row r="30" spans="1:86" x14ac:dyDescent="0.25">
      <c r="A30" t="s">
        <v>29</v>
      </c>
      <c r="B30">
        <v>1</v>
      </c>
      <c r="C30" t="s">
        <v>34</v>
      </c>
      <c r="D30" t="s">
        <v>35</v>
      </c>
      <c r="E30" s="2">
        <v>0</v>
      </c>
      <c r="F30">
        <v>0</v>
      </c>
      <c r="G30">
        <v>0</v>
      </c>
      <c r="H30">
        <v>0</v>
      </c>
      <c r="I30" t="s">
        <v>32</v>
      </c>
      <c r="J30">
        <v>0</v>
      </c>
      <c r="M30" t="s">
        <v>35</v>
      </c>
      <c r="N30">
        <v>30</v>
      </c>
      <c r="R30" t="s">
        <v>31</v>
      </c>
      <c r="S30">
        <v>22</v>
      </c>
      <c r="X30" s="37" t="s">
        <v>141</v>
      </c>
      <c r="AA30">
        <v>3</v>
      </c>
      <c r="AC30">
        <v>1</v>
      </c>
      <c r="AE30">
        <v>1</v>
      </c>
      <c r="AI30">
        <v>1</v>
      </c>
      <c r="AN30">
        <v>1</v>
      </c>
      <c r="AP30">
        <v>2</v>
      </c>
      <c r="AR30">
        <v>3</v>
      </c>
      <c r="AU30">
        <v>1</v>
      </c>
      <c r="AW30">
        <v>8</v>
      </c>
      <c r="AY30">
        <v>4</v>
      </c>
      <c r="BA30">
        <v>10</v>
      </c>
      <c r="BC30">
        <v>6</v>
      </c>
      <c r="BE30">
        <v>4</v>
      </c>
      <c r="BG30">
        <v>45</v>
      </c>
      <c r="BI30" s="37" t="s">
        <v>142</v>
      </c>
      <c r="BJ30">
        <v>0</v>
      </c>
      <c r="BK30">
        <v>0</v>
      </c>
      <c r="BL30">
        <v>2</v>
      </c>
      <c r="BM30">
        <v>2</v>
      </c>
      <c r="BN30">
        <v>0</v>
      </c>
      <c r="BO30">
        <v>8</v>
      </c>
      <c r="BP30">
        <v>3</v>
      </c>
      <c r="BQ30">
        <v>2</v>
      </c>
      <c r="BR30">
        <v>3</v>
      </c>
      <c r="BS30">
        <v>9</v>
      </c>
      <c r="BT30">
        <v>3</v>
      </c>
      <c r="BU30">
        <v>5</v>
      </c>
      <c r="BV30">
        <v>7</v>
      </c>
      <c r="BW30">
        <v>11</v>
      </c>
      <c r="BX30">
        <v>3</v>
      </c>
      <c r="BY30">
        <v>5</v>
      </c>
      <c r="BZ30">
        <v>7</v>
      </c>
      <c r="CB30" s="42">
        <f t="shared" si="0"/>
        <v>4.117647058823529</v>
      </c>
      <c r="CC30" s="43">
        <v>0.5</v>
      </c>
      <c r="CD30" s="43">
        <f t="shared" si="1"/>
        <v>3.1971007627532217</v>
      </c>
      <c r="CE30" s="44">
        <f t="shared" si="2"/>
        <v>70</v>
      </c>
      <c r="CF30" s="44">
        <f t="shared" si="3"/>
        <v>0.25774049511534741</v>
      </c>
      <c r="CG30" s="42">
        <f t="shared" si="4"/>
        <v>4.375387553938876</v>
      </c>
      <c r="CH30" s="42">
        <f t="shared" si="5"/>
        <v>3.8599065637081815</v>
      </c>
    </row>
    <row r="31" spans="1:86" x14ac:dyDescent="0.25">
      <c r="A31" t="s">
        <v>29</v>
      </c>
      <c r="B31">
        <v>1</v>
      </c>
      <c r="C31" t="s">
        <v>34</v>
      </c>
      <c r="D31" t="s">
        <v>35</v>
      </c>
      <c r="E31" s="2">
        <v>0</v>
      </c>
      <c r="F31">
        <v>0</v>
      </c>
      <c r="G31">
        <v>0</v>
      </c>
      <c r="H31">
        <v>0</v>
      </c>
      <c r="I31" t="s">
        <v>32</v>
      </c>
      <c r="J31">
        <v>0</v>
      </c>
      <c r="M31" t="s">
        <v>35</v>
      </c>
      <c r="N31">
        <v>26</v>
      </c>
      <c r="R31" t="s">
        <v>31</v>
      </c>
      <c r="S31">
        <v>13</v>
      </c>
      <c r="X31" s="37" t="s">
        <v>142</v>
      </c>
      <c r="AC31">
        <v>2</v>
      </c>
      <c r="AE31">
        <v>2</v>
      </c>
      <c r="AI31">
        <v>8</v>
      </c>
      <c r="AK31">
        <v>3</v>
      </c>
      <c r="AN31">
        <v>2</v>
      </c>
      <c r="AP31">
        <v>3</v>
      </c>
      <c r="AR31">
        <v>9</v>
      </c>
      <c r="AT31">
        <v>3</v>
      </c>
      <c r="AU31">
        <v>5</v>
      </c>
      <c r="AW31">
        <v>7</v>
      </c>
      <c r="AY31">
        <v>11</v>
      </c>
      <c r="BA31">
        <v>3</v>
      </c>
      <c r="BC31">
        <v>5</v>
      </c>
      <c r="BE31">
        <v>7</v>
      </c>
      <c r="BG31">
        <v>70</v>
      </c>
      <c r="BI31" s="37" t="s">
        <v>143</v>
      </c>
      <c r="BJ31">
        <v>0</v>
      </c>
      <c r="BK31">
        <v>0</v>
      </c>
      <c r="BL31">
        <v>1</v>
      </c>
      <c r="BM31">
        <v>3</v>
      </c>
      <c r="BN31">
        <v>2</v>
      </c>
      <c r="BO31">
        <v>5</v>
      </c>
      <c r="BP31">
        <v>1</v>
      </c>
      <c r="BQ31">
        <v>1</v>
      </c>
      <c r="BR31">
        <v>1</v>
      </c>
      <c r="BS31">
        <v>3</v>
      </c>
      <c r="BT31">
        <v>2</v>
      </c>
      <c r="BU31">
        <v>1</v>
      </c>
      <c r="BV31">
        <v>3</v>
      </c>
      <c r="BW31">
        <v>6</v>
      </c>
      <c r="BX31">
        <v>1</v>
      </c>
      <c r="BY31">
        <v>2</v>
      </c>
      <c r="BZ31">
        <v>2</v>
      </c>
      <c r="CB31" s="42">
        <f t="shared" si="0"/>
        <v>2</v>
      </c>
      <c r="CC31" s="43">
        <v>0.5</v>
      </c>
      <c r="CD31" s="43">
        <f t="shared" si="1"/>
        <v>1.5718104959867516</v>
      </c>
      <c r="CE31" s="44">
        <f t="shared" si="2"/>
        <v>34</v>
      </c>
      <c r="CF31" s="44">
        <f t="shared" si="3"/>
        <v>0.18181766680855299</v>
      </c>
      <c r="CG31" s="42">
        <f t="shared" si="4"/>
        <v>2.1818176668085529</v>
      </c>
      <c r="CH31" s="42">
        <f t="shared" si="5"/>
        <v>1.8181823331914471</v>
      </c>
    </row>
    <row r="32" spans="1:86" x14ac:dyDescent="0.25">
      <c r="A32" t="s">
        <v>29</v>
      </c>
      <c r="B32">
        <v>1</v>
      </c>
      <c r="C32" t="s">
        <v>34</v>
      </c>
      <c r="D32" t="s">
        <v>35</v>
      </c>
      <c r="E32" s="2">
        <v>0</v>
      </c>
      <c r="F32">
        <v>0</v>
      </c>
      <c r="G32">
        <v>0</v>
      </c>
      <c r="H32">
        <v>0</v>
      </c>
      <c r="I32" t="s">
        <v>32</v>
      </c>
      <c r="J32">
        <v>0</v>
      </c>
      <c r="M32" t="s">
        <v>35</v>
      </c>
      <c r="N32">
        <v>0</v>
      </c>
      <c r="R32" t="s">
        <v>31</v>
      </c>
      <c r="S32">
        <v>0</v>
      </c>
      <c r="X32" s="37" t="s">
        <v>143</v>
      </c>
      <c r="AC32">
        <v>1</v>
      </c>
      <c r="AE32">
        <v>3</v>
      </c>
      <c r="AG32">
        <v>2</v>
      </c>
      <c r="AI32">
        <v>5</v>
      </c>
      <c r="AK32">
        <v>1</v>
      </c>
      <c r="AN32">
        <v>1</v>
      </c>
      <c r="AP32">
        <v>1</v>
      </c>
      <c r="AR32">
        <v>3</v>
      </c>
      <c r="AT32">
        <v>2</v>
      </c>
      <c r="AU32">
        <v>1</v>
      </c>
      <c r="AW32">
        <v>3</v>
      </c>
      <c r="AY32">
        <v>6</v>
      </c>
      <c r="BA32">
        <v>1</v>
      </c>
      <c r="BC32">
        <v>2</v>
      </c>
      <c r="BE32">
        <v>2</v>
      </c>
      <c r="BG32">
        <v>34</v>
      </c>
      <c r="BI32" s="37" t="s">
        <v>144</v>
      </c>
      <c r="BJ32">
        <v>0</v>
      </c>
      <c r="BK32">
        <v>2</v>
      </c>
      <c r="BL32">
        <v>2</v>
      </c>
      <c r="BM32">
        <v>0</v>
      </c>
      <c r="BN32">
        <v>1</v>
      </c>
      <c r="BO32">
        <v>9</v>
      </c>
      <c r="BP32">
        <v>3</v>
      </c>
      <c r="BQ32">
        <v>1</v>
      </c>
      <c r="BR32">
        <v>7</v>
      </c>
      <c r="BS32">
        <v>5</v>
      </c>
      <c r="BT32">
        <v>3</v>
      </c>
      <c r="BU32">
        <v>2</v>
      </c>
      <c r="BV32">
        <v>5</v>
      </c>
      <c r="BW32">
        <v>3</v>
      </c>
      <c r="BX32">
        <v>0</v>
      </c>
      <c r="BY32">
        <v>1</v>
      </c>
      <c r="BZ32">
        <v>1</v>
      </c>
      <c r="CB32" s="42">
        <f t="shared" si="0"/>
        <v>2.6470588235294117</v>
      </c>
      <c r="CC32" s="43">
        <v>0.5</v>
      </c>
      <c r="CD32" s="43">
        <f t="shared" si="1"/>
        <v>2.4719883987589051</v>
      </c>
      <c r="CE32" s="44">
        <f t="shared" si="2"/>
        <v>45</v>
      </c>
      <c r="CF32" s="44">
        <f t="shared" si="3"/>
        <v>0.24855100625202456</v>
      </c>
      <c r="CG32" s="42">
        <f t="shared" si="4"/>
        <v>2.8956098297814363</v>
      </c>
      <c r="CH32" s="42">
        <f t="shared" si="5"/>
        <v>2.398507817277387</v>
      </c>
    </row>
    <row r="33" spans="1:92" x14ac:dyDescent="0.25">
      <c r="A33" t="s">
        <v>29</v>
      </c>
      <c r="B33">
        <v>1</v>
      </c>
      <c r="C33" t="s">
        <v>34</v>
      </c>
      <c r="D33" t="s">
        <v>35</v>
      </c>
      <c r="E33" s="2">
        <v>0</v>
      </c>
      <c r="F33">
        <v>0</v>
      </c>
      <c r="G33">
        <v>0</v>
      </c>
      <c r="H33">
        <v>0</v>
      </c>
      <c r="I33" t="s">
        <v>32</v>
      </c>
      <c r="J33">
        <v>0</v>
      </c>
      <c r="M33" t="s">
        <v>35</v>
      </c>
      <c r="N33">
        <v>61</v>
      </c>
      <c r="R33" t="s">
        <v>31</v>
      </c>
      <c r="S33">
        <v>0</v>
      </c>
      <c r="X33" s="37" t="s">
        <v>148</v>
      </c>
      <c r="Y33">
        <v>2</v>
      </c>
      <c r="AA33">
        <v>5</v>
      </c>
      <c r="AE33">
        <v>5</v>
      </c>
      <c r="AG33">
        <v>1</v>
      </c>
      <c r="AI33">
        <v>5</v>
      </c>
      <c r="AK33">
        <v>7</v>
      </c>
      <c r="AN33">
        <v>1</v>
      </c>
      <c r="AP33">
        <v>17</v>
      </c>
      <c r="AR33">
        <v>10</v>
      </c>
      <c r="AT33">
        <v>7</v>
      </c>
      <c r="AU33">
        <v>11</v>
      </c>
      <c r="AW33">
        <v>15</v>
      </c>
      <c r="AY33">
        <v>6</v>
      </c>
      <c r="BA33">
        <v>15</v>
      </c>
      <c r="BC33">
        <v>13</v>
      </c>
      <c r="BE33">
        <v>19</v>
      </c>
      <c r="BG33">
        <v>139</v>
      </c>
      <c r="BI33" s="37" t="s">
        <v>103</v>
      </c>
      <c r="BJ33">
        <v>1</v>
      </c>
      <c r="BK33">
        <v>0</v>
      </c>
      <c r="BL33">
        <v>2</v>
      </c>
      <c r="BM33">
        <v>1</v>
      </c>
      <c r="BN33">
        <v>2</v>
      </c>
      <c r="BO33">
        <v>3</v>
      </c>
      <c r="BP33">
        <v>0</v>
      </c>
      <c r="BQ33">
        <v>1</v>
      </c>
      <c r="BR33">
        <v>2</v>
      </c>
      <c r="BS33">
        <v>4</v>
      </c>
      <c r="BT33">
        <v>2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B33" s="42">
        <f t="shared" si="0"/>
        <v>1.1176470588235294</v>
      </c>
      <c r="CC33" s="43">
        <v>0.5</v>
      </c>
      <c r="CD33" s="43">
        <f t="shared" si="1"/>
        <v>1.1823383083671637</v>
      </c>
      <c r="CE33" s="44">
        <f t="shared" si="2"/>
        <v>19</v>
      </c>
      <c r="CF33" s="44">
        <f t="shared" si="3"/>
        <v>0.182953328486677</v>
      </c>
      <c r="CG33" s="42">
        <f t="shared" si="4"/>
        <v>1.3006003873102063</v>
      </c>
      <c r="CH33" s="42">
        <f t="shared" si="5"/>
        <v>0.93469373033685244</v>
      </c>
    </row>
    <row r="34" spans="1:92" x14ac:dyDescent="0.25">
      <c r="A34" t="s">
        <v>29</v>
      </c>
      <c r="B34">
        <v>1</v>
      </c>
      <c r="C34" t="s">
        <v>34</v>
      </c>
      <c r="D34" t="s">
        <v>35</v>
      </c>
      <c r="E34" s="2">
        <v>0</v>
      </c>
      <c r="F34">
        <v>0</v>
      </c>
      <c r="G34">
        <v>0</v>
      </c>
      <c r="H34">
        <v>0</v>
      </c>
      <c r="I34" t="s">
        <v>32</v>
      </c>
      <c r="J34">
        <v>0</v>
      </c>
      <c r="M34" t="s">
        <v>35</v>
      </c>
      <c r="N34">
        <v>7</v>
      </c>
      <c r="R34" t="s">
        <v>31</v>
      </c>
      <c r="S34">
        <v>84</v>
      </c>
      <c r="X34" s="37" t="s">
        <v>149</v>
      </c>
      <c r="Y34">
        <v>1</v>
      </c>
      <c r="AE34">
        <v>2</v>
      </c>
      <c r="AG34">
        <v>3</v>
      </c>
      <c r="AI34">
        <v>3</v>
      </c>
      <c r="AK34">
        <v>12</v>
      </c>
      <c r="AN34">
        <v>4</v>
      </c>
      <c r="AP34">
        <v>6</v>
      </c>
      <c r="AR34">
        <v>3</v>
      </c>
      <c r="AT34">
        <v>6</v>
      </c>
      <c r="AU34">
        <v>11</v>
      </c>
      <c r="AW34">
        <v>4</v>
      </c>
      <c r="AY34">
        <v>6</v>
      </c>
      <c r="BA34">
        <v>10</v>
      </c>
      <c r="BC34">
        <v>10</v>
      </c>
      <c r="BE34">
        <v>10</v>
      </c>
      <c r="BG34">
        <v>91</v>
      </c>
      <c r="BI34" s="39" t="s">
        <v>34</v>
      </c>
      <c r="BJ34" s="40" t="s">
        <v>67</v>
      </c>
      <c r="BK34" s="40" t="s">
        <v>65</v>
      </c>
      <c r="BL34" s="40" t="s">
        <v>70</v>
      </c>
      <c r="BM34" s="38" t="s">
        <v>75</v>
      </c>
      <c r="BN34" s="38" t="s">
        <v>73</v>
      </c>
      <c r="BO34" s="38" t="s">
        <v>77</v>
      </c>
      <c r="BP34" s="38" t="s">
        <v>48</v>
      </c>
      <c r="BQ34" s="38" t="s">
        <v>44</v>
      </c>
      <c r="BR34" s="38" t="s">
        <v>46</v>
      </c>
      <c r="BS34" s="38" t="s">
        <v>50</v>
      </c>
      <c r="BT34" s="38" t="s">
        <v>53</v>
      </c>
      <c r="BU34" s="38" t="s">
        <v>56</v>
      </c>
      <c r="BV34" s="38" t="s">
        <v>62</v>
      </c>
      <c r="BW34" s="38" t="s">
        <v>35</v>
      </c>
      <c r="BX34" s="38" t="s">
        <v>37</v>
      </c>
      <c r="BY34" s="38" t="s">
        <v>39</v>
      </c>
      <c r="BZ34" s="38" t="s">
        <v>41</v>
      </c>
      <c r="CA34" s="40"/>
      <c r="CB34" s="45" t="s">
        <v>158</v>
      </c>
      <c r="CC34" s="43" t="s">
        <v>120</v>
      </c>
      <c r="CD34" s="43" t="s">
        <v>155</v>
      </c>
      <c r="CE34" s="44" t="s">
        <v>156</v>
      </c>
      <c r="CF34" s="44" t="s">
        <v>119</v>
      </c>
      <c r="CG34" s="42" t="s">
        <v>130</v>
      </c>
      <c r="CH34" s="42" t="s">
        <v>131</v>
      </c>
      <c r="CI34" s="40"/>
      <c r="CJ34" s="40"/>
      <c r="CK34" s="40"/>
      <c r="CL34" s="40"/>
      <c r="CM34" s="40"/>
      <c r="CN34" s="40"/>
    </row>
    <row r="35" spans="1:92" x14ac:dyDescent="0.25">
      <c r="A35" t="s">
        <v>29</v>
      </c>
      <c r="B35">
        <v>1</v>
      </c>
      <c r="C35" t="s">
        <v>34</v>
      </c>
      <c r="D35" t="s">
        <v>35</v>
      </c>
      <c r="E35" s="2">
        <v>0</v>
      </c>
      <c r="F35">
        <v>0</v>
      </c>
      <c r="G35">
        <v>0</v>
      </c>
      <c r="H35">
        <v>0</v>
      </c>
      <c r="I35" t="s">
        <v>32</v>
      </c>
      <c r="J35">
        <v>0</v>
      </c>
      <c r="M35" t="s">
        <v>35</v>
      </c>
      <c r="N35">
        <v>55</v>
      </c>
      <c r="R35" t="s">
        <v>31</v>
      </c>
      <c r="S35">
        <v>7</v>
      </c>
      <c r="X35" s="36" t="s">
        <v>34</v>
      </c>
      <c r="Z35">
        <v>57</v>
      </c>
      <c r="AB35">
        <v>142</v>
      </c>
      <c r="AD35">
        <v>62</v>
      </c>
      <c r="AF35">
        <v>32</v>
      </c>
      <c r="AH35">
        <v>9</v>
      </c>
      <c r="AJ35">
        <v>46</v>
      </c>
      <c r="AL35">
        <v>78</v>
      </c>
      <c r="AM35">
        <v>107</v>
      </c>
      <c r="AO35">
        <v>136</v>
      </c>
      <c r="AQ35">
        <v>68</v>
      </c>
      <c r="AS35">
        <v>78</v>
      </c>
      <c r="AV35">
        <v>2</v>
      </c>
      <c r="AX35">
        <v>60</v>
      </c>
      <c r="AZ35">
        <v>132</v>
      </c>
      <c r="BB35">
        <v>57</v>
      </c>
      <c r="BD35">
        <v>84</v>
      </c>
      <c r="BF35">
        <v>21</v>
      </c>
      <c r="BG35">
        <v>1171</v>
      </c>
      <c r="BI35" s="37">
        <v>0</v>
      </c>
      <c r="BJ35">
        <v>7</v>
      </c>
      <c r="BK35">
        <v>19</v>
      </c>
      <c r="BL35">
        <v>18</v>
      </c>
      <c r="BM35">
        <v>2</v>
      </c>
      <c r="BN35">
        <v>1</v>
      </c>
      <c r="BO35">
        <v>7</v>
      </c>
      <c r="BP35">
        <v>28</v>
      </c>
      <c r="BQ35">
        <v>41</v>
      </c>
      <c r="BR35">
        <v>56</v>
      </c>
      <c r="BS35">
        <v>9</v>
      </c>
      <c r="BT35">
        <v>34</v>
      </c>
      <c r="BU35">
        <v>1</v>
      </c>
      <c r="BV35">
        <v>10</v>
      </c>
      <c r="BW35">
        <v>37</v>
      </c>
      <c r="BX35">
        <v>12</v>
      </c>
      <c r="BY35">
        <v>28</v>
      </c>
      <c r="BZ35">
        <v>4</v>
      </c>
      <c r="CB35" s="48">
        <f t="shared" si="0"/>
        <v>18.470588235294116</v>
      </c>
      <c r="CC35" s="46">
        <v>0.5</v>
      </c>
      <c r="CD35" s="46">
        <f t="shared" si="1"/>
        <v>15.793213907762162</v>
      </c>
      <c r="CE35" s="47">
        <f t="shared" si="2"/>
        <v>314</v>
      </c>
      <c r="CF35" s="47">
        <f t="shared" si="3"/>
        <v>0.60114750359098268</v>
      </c>
      <c r="CG35" s="48">
        <f t="shared" si="4"/>
        <v>19.071735738885099</v>
      </c>
      <c r="CH35" s="48">
        <f t="shared" si="5"/>
        <v>17.869440731703133</v>
      </c>
    </row>
    <row r="36" spans="1:92" x14ac:dyDescent="0.25">
      <c r="A36" t="s">
        <v>29</v>
      </c>
      <c r="B36">
        <v>1</v>
      </c>
      <c r="C36" t="s">
        <v>34</v>
      </c>
      <c r="D36" t="s">
        <v>35</v>
      </c>
      <c r="E36" s="2">
        <v>0</v>
      </c>
      <c r="F36">
        <v>0</v>
      </c>
      <c r="G36">
        <v>0</v>
      </c>
      <c r="H36">
        <v>0</v>
      </c>
      <c r="I36" t="s">
        <v>32</v>
      </c>
      <c r="J36">
        <v>0</v>
      </c>
      <c r="M36" t="s">
        <v>35</v>
      </c>
      <c r="N36">
        <v>8</v>
      </c>
      <c r="R36" t="s">
        <v>31</v>
      </c>
      <c r="S36">
        <v>8</v>
      </c>
      <c r="X36" s="37">
        <v>0</v>
      </c>
      <c r="Z36">
        <v>7</v>
      </c>
      <c r="AB36">
        <v>19</v>
      </c>
      <c r="AD36">
        <v>18</v>
      </c>
      <c r="AF36">
        <v>2</v>
      </c>
      <c r="AH36">
        <v>1</v>
      </c>
      <c r="AJ36">
        <v>7</v>
      </c>
      <c r="AL36">
        <v>28</v>
      </c>
      <c r="AM36">
        <v>41</v>
      </c>
      <c r="AO36">
        <v>56</v>
      </c>
      <c r="AQ36">
        <v>9</v>
      </c>
      <c r="AS36">
        <v>34</v>
      </c>
      <c r="AV36">
        <v>1</v>
      </c>
      <c r="AX36">
        <v>10</v>
      </c>
      <c r="AZ36">
        <v>37</v>
      </c>
      <c r="BB36">
        <v>12</v>
      </c>
      <c r="BD36">
        <v>28</v>
      </c>
      <c r="BF36">
        <v>4</v>
      </c>
      <c r="BG36">
        <v>314</v>
      </c>
      <c r="BI36" s="37" t="s">
        <v>148</v>
      </c>
      <c r="BJ36">
        <v>8</v>
      </c>
      <c r="BK36">
        <v>26</v>
      </c>
      <c r="BL36">
        <v>6</v>
      </c>
      <c r="BM36">
        <v>9</v>
      </c>
      <c r="BN36">
        <v>2</v>
      </c>
      <c r="BO36">
        <v>5</v>
      </c>
      <c r="BP36">
        <v>14</v>
      </c>
      <c r="BQ36">
        <v>10</v>
      </c>
      <c r="BR36">
        <v>29</v>
      </c>
      <c r="BS36">
        <v>9</v>
      </c>
      <c r="BT36">
        <v>6</v>
      </c>
      <c r="BU36">
        <v>1</v>
      </c>
      <c r="BV36">
        <v>12</v>
      </c>
      <c r="BW36">
        <v>20</v>
      </c>
      <c r="BX36">
        <v>7</v>
      </c>
      <c r="BY36">
        <v>11</v>
      </c>
      <c r="BZ36">
        <v>2</v>
      </c>
      <c r="CB36" s="48">
        <f t="shared" si="0"/>
        <v>10.411764705882353</v>
      </c>
      <c r="CC36" s="46">
        <v>0.5</v>
      </c>
      <c r="CD36" s="46">
        <f t="shared" si="1"/>
        <v>7.7312111792123392</v>
      </c>
      <c r="CE36" s="47">
        <f t="shared" si="2"/>
        <v>177</v>
      </c>
      <c r="CF36" s="47">
        <f t="shared" si="3"/>
        <v>0.39195504377184814</v>
      </c>
      <c r="CG36" s="48">
        <f t="shared" si="4"/>
        <v>10.803719749654201</v>
      </c>
      <c r="CH36" s="48">
        <f t="shared" si="5"/>
        <v>10.019809662110505</v>
      </c>
    </row>
    <row r="37" spans="1:92" x14ac:dyDescent="0.25">
      <c r="A37" t="s">
        <v>29</v>
      </c>
      <c r="B37">
        <v>1</v>
      </c>
      <c r="C37" t="s">
        <v>34</v>
      </c>
      <c r="D37" t="s">
        <v>35</v>
      </c>
      <c r="E37" s="2">
        <v>0</v>
      </c>
      <c r="F37">
        <v>0</v>
      </c>
      <c r="G37">
        <v>0</v>
      </c>
      <c r="H37">
        <v>0</v>
      </c>
      <c r="I37" t="s">
        <v>32</v>
      </c>
      <c r="J37">
        <v>0</v>
      </c>
      <c r="M37" t="s">
        <v>35</v>
      </c>
      <c r="N37">
        <v>68</v>
      </c>
      <c r="R37" t="s">
        <v>31</v>
      </c>
      <c r="S37">
        <v>0</v>
      </c>
      <c r="X37" s="37" t="s">
        <v>144</v>
      </c>
      <c r="Z37">
        <v>7</v>
      </c>
      <c r="AB37">
        <v>19</v>
      </c>
      <c r="AD37">
        <v>2</v>
      </c>
      <c r="AF37">
        <v>2</v>
      </c>
      <c r="AJ37">
        <v>6</v>
      </c>
      <c r="AL37">
        <v>6</v>
      </c>
      <c r="AM37">
        <v>6</v>
      </c>
      <c r="AO37">
        <v>3</v>
      </c>
      <c r="AQ37">
        <v>13</v>
      </c>
      <c r="AS37">
        <v>6</v>
      </c>
      <c r="AX37">
        <v>6</v>
      </c>
      <c r="AZ37">
        <v>3</v>
      </c>
      <c r="BB37">
        <v>1</v>
      </c>
      <c r="BD37">
        <v>2</v>
      </c>
      <c r="BG37">
        <v>82</v>
      </c>
      <c r="BI37" s="37" t="s">
        <v>149</v>
      </c>
      <c r="BJ37">
        <v>6</v>
      </c>
      <c r="BK37">
        <v>17</v>
      </c>
      <c r="BL37">
        <v>3</v>
      </c>
      <c r="BM37">
        <v>8</v>
      </c>
      <c r="BN37">
        <v>3</v>
      </c>
      <c r="BO37">
        <v>10</v>
      </c>
      <c r="BP37">
        <v>5</v>
      </c>
      <c r="BQ37">
        <v>16</v>
      </c>
      <c r="BR37">
        <v>17</v>
      </c>
      <c r="BS37">
        <v>3</v>
      </c>
      <c r="BT37">
        <v>4</v>
      </c>
      <c r="BU37">
        <v>0</v>
      </c>
      <c r="BV37">
        <v>9</v>
      </c>
      <c r="BW37">
        <v>17</v>
      </c>
      <c r="BX37">
        <v>8</v>
      </c>
      <c r="BY37">
        <v>13</v>
      </c>
      <c r="BZ37">
        <v>3</v>
      </c>
      <c r="CB37" s="48">
        <f t="shared" si="0"/>
        <v>8.3529411764705888</v>
      </c>
      <c r="CC37" s="46">
        <v>0.5</v>
      </c>
      <c r="CD37" s="46">
        <f t="shared" si="1"/>
        <v>5.5724234507247248</v>
      </c>
      <c r="CE37" s="47">
        <f t="shared" si="2"/>
        <v>142</v>
      </c>
      <c r="CF37" s="47">
        <f t="shared" si="3"/>
        <v>0.31540988014283283</v>
      </c>
      <c r="CG37" s="48">
        <f t="shared" si="4"/>
        <v>8.668351056613421</v>
      </c>
      <c r="CH37" s="48">
        <f t="shared" si="5"/>
        <v>8.0375312963277565</v>
      </c>
    </row>
    <row r="38" spans="1:92" x14ac:dyDescent="0.25">
      <c r="A38" t="s">
        <v>29</v>
      </c>
      <c r="B38">
        <v>1</v>
      </c>
      <c r="C38" t="s">
        <v>34</v>
      </c>
      <c r="D38" t="s">
        <v>35</v>
      </c>
      <c r="E38" s="2">
        <v>0</v>
      </c>
      <c r="F38">
        <v>0</v>
      </c>
      <c r="G38">
        <v>0</v>
      </c>
      <c r="H38">
        <v>0</v>
      </c>
      <c r="I38" t="s">
        <v>32</v>
      </c>
      <c r="J38">
        <v>0</v>
      </c>
      <c r="M38" t="s">
        <v>35</v>
      </c>
      <c r="N38">
        <v>17</v>
      </c>
      <c r="R38" t="s">
        <v>31</v>
      </c>
      <c r="S38">
        <v>0</v>
      </c>
      <c r="X38" s="37" t="s">
        <v>103</v>
      </c>
      <c r="Z38">
        <v>1</v>
      </c>
      <c r="AB38">
        <v>3</v>
      </c>
      <c r="AD38">
        <v>5</v>
      </c>
      <c r="AJ38">
        <v>2</v>
      </c>
      <c r="AL38">
        <v>1</v>
      </c>
      <c r="AM38">
        <v>1</v>
      </c>
      <c r="AO38">
        <v>2</v>
      </c>
      <c r="AQ38">
        <v>3</v>
      </c>
      <c r="AS38">
        <v>4</v>
      </c>
      <c r="BG38">
        <v>22</v>
      </c>
      <c r="BI38" s="37" t="s">
        <v>139</v>
      </c>
      <c r="BJ38">
        <v>5</v>
      </c>
      <c r="BK38">
        <v>8</v>
      </c>
      <c r="BL38">
        <v>5</v>
      </c>
      <c r="BM38">
        <v>4</v>
      </c>
      <c r="BN38">
        <v>1</v>
      </c>
      <c r="BO38">
        <v>8</v>
      </c>
      <c r="BP38">
        <v>1</v>
      </c>
      <c r="BQ38">
        <v>8</v>
      </c>
      <c r="BR38">
        <v>1</v>
      </c>
      <c r="BS38">
        <v>2</v>
      </c>
      <c r="BT38">
        <v>2</v>
      </c>
      <c r="BU38">
        <v>0</v>
      </c>
      <c r="BV38">
        <v>5</v>
      </c>
      <c r="BW38">
        <v>13</v>
      </c>
      <c r="BX38">
        <v>5</v>
      </c>
      <c r="BY38">
        <v>10</v>
      </c>
      <c r="BZ38">
        <v>3</v>
      </c>
      <c r="CB38" s="48">
        <f t="shared" si="0"/>
        <v>4.7647058823529411</v>
      </c>
      <c r="CC38" s="46">
        <v>0.5</v>
      </c>
      <c r="CD38" s="46">
        <f t="shared" si="1"/>
        <v>3.5235245016169263</v>
      </c>
      <c r="CE38" s="47">
        <f t="shared" si="2"/>
        <v>81</v>
      </c>
      <c r="CF38" s="47">
        <f t="shared" si="3"/>
        <v>0.26406457343393053</v>
      </c>
      <c r="CG38" s="48">
        <f t="shared" si="4"/>
        <v>5.028770455786872</v>
      </c>
      <c r="CH38" s="48">
        <f t="shared" si="5"/>
        <v>4.5006413089190103</v>
      </c>
    </row>
    <row r="39" spans="1:92" x14ac:dyDescent="0.25">
      <c r="A39" t="s">
        <v>29</v>
      </c>
      <c r="B39">
        <v>1</v>
      </c>
      <c r="C39" t="s">
        <v>34</v>
      </c>
      <c r="D39" t="s">
        <v>35</v>
      </c>
      <c r="E39" s="2">
        <v>0</v>
      </c>
      <c r="F39">
        <v>0</v>
      </c>
      <c r="G39">
        <v>0</v>
      </c>
      <c r="H39">
        <v>0</v>
      </c>
      <c r="I39" t="s">
        <v>32</v>
      </c>
      <c r="J39">
        <v>0</v>
      </c>
      <c r="M39" t="s">
        <v>35</v>
      </c>
      <c r="N39">
        <v>46</v>
      </c>
      <c r="R39" t="s">
        <v>31</v>
      </c>
      <c r="S39">
        <v>71</v>
      </c>
      <c r="X39" s="37" t="s">
        <v>139</v>
      </c>
      <c r="Z39">
        <v>5</v>
      </c>
      <c r="AB39">
        <v>8</v>
      </c>
      <c r="AD39">
        <v>5</v>
      </c>
      <c r="AF39">
        <v>4</v>
      </c>
      <c r="AH39">
        <v>1</v>
      </c>
      <c r="AJ39">
        <v>8</v>
      </c>
      <c r="AL39">
        <v>1</v>
      </c>
      <c r="AM39">
        <v>8</v>
      </c>
      <c r="AO39">
        <v>1</v>
      </c>
      <c r="AQ39">
        <v>2</v>
      </c>
      <c r="AS39">
        <v>2</v>
      </c>
      <c r="AX39">
        <v>5</v>
      </c>
      <c r="AZ39">
        <v>13</v>
      </c>
      <c r="BB39">
        <v>5</v>
      </c>
      <c r="BD39">
        <v>10</v>
      </c>
      <c r="BF39">
        <v>3</v>
      </c>
      <c r="BG39">
        <v>81</v>
      </c>
      <c r="BI39" s="37" t="s">
        <v>140</v>
      </c>
      <c r="BJ39">
        <v>1</v>
      </c>
      <c r="BK39">
        <v>10</v>
      </c>
      <c r="BL39">
        <v>6</v>
      </c>
      <c r="BM39">
        <v>3</v>
      </c>
      <c r="BN39">
        <v>1</v>
      </c>
      <c r="BO39">
        <v>0</v>
      </c>
      <c r="BP39">
        <v>5</v>
      </c>
      <c r="BQ39">
        <v>2</v>
      </c>
      <c r="BR39">
        <v>3</v>
      </c>
      <c r="BS39">
        <v>1</v>
      </c>
      <c r="BT39">
        <v>2</v>
      </c>
      <c r="BU39">
        <v>0</v>
      </c>
      <c r="BV39">
        <v>2</v>
      </c>
      <c r="BW39">
        <v>12</v>
      </c>
      <c r="BX39">
        <v>6</v>
      </c>
      <c r="BY39">
        <v>4</v>
      </c>
      <c r="BZ39">
        <v>0</v>
      </c>
      <c r="CB39" s="48">
        <f t="shared" si="0"/>
        <v>3.4117647058823528</v>
      </c>
      <c r="CC39" s="46">
        <v>0.5</v>
      </c>
      <c r="CD39" s="46">
        <f t="shared" si="1"/>
        <v>3.3617016617010704</v>
      </c>
      <c r="CE39" s="47">
        <f t="shared" si="2"/>
        <v>58</v>
      </c>
      <c r="CF39" s="47">
        <f t="shared" si="3"/>
        <v>0.29772858021317039</v>
      </c>
      <c r="CG39" s="48">
        <f t="shared" si="4"/>
        <v>3.7094932860955234</v>
      </c>
      <c r="CH39" s="48">
        <f t="shared" si="5"/>
        <v>3.1140361256691822</v>
      </c>
    </row>
    <row r="40" spans="1:92" x14ac:dyDescent="0.25">
      <c r="A40" t="s">
        <v>29</v>
      </c>
      <c r="B40">
        <v>1</v>
      </c>
      <c r="C40" t="s">
        <v>34</v>
      </c>
      <c r="D40" t="s">
        <v>35</v>
      </c>
      <c r="E40" s="2">
        <v>0</v>
      </c>
      <c r="F40">
        <v>0</v>
      </c>
      <c r="G40">
        <v>0</v>
      </c>
      <c r="H40">
        <v>0</v>
      </c>
      <c r="I40" t="s">
        <v>32</v>
      </c>
      <c r="J40">
        <v>0</v>
      </c>
      <c r="M40" t="s">
        <v>35</v>
      </c>
      <c r="N40">
        <v>87</v>
      </c>
      <c r="R40" t="s">
        <v>31</v>
      </c>
      <c r="S40">
        <v>98</v>
      </c>
      <c r="X40" s="37" t="s">
        <v>140</v>
      </c>
      <c r="Z40">
        <v>1</v>
      </c>
      <c r="AB40">
        <v>10</v>
      </c>
      <c r="AD40">
        <v>6</v>
      </c>
      <c r="AF40">
        <v>3</v>
      </c>
      <c r="AH40">
        <v>1</v>
      </c>
      <c r="AL40">
        <v>5</v>
      </c>
      <c r="AM40">
        <v>2</v>
      </c>
      <c r="AO40">
        <v>3</v>
      </c>
      <c r="AQ40">
        <v>1</v>
      </c>
      <c r="AS40">
        <v>2</v>
      </c>
      <c r="AX40">
        <v>2</v>
      </c>
      <c r="AZ40">
        <v>12</v>
      </c>
      <c r="BB40">
        <v>6</v>
      </c>
      <c r="BD40">
        <v>4</v>
      </c>
      <c r="BG40">
        <v>58</v>
      </c>
      <c r="BI40" s="37" t="s">
        <v>141</v>
      </c>
      <c r="BJ40">
        <v>1</v>
      </c>
      <c r="BK40">
        <v>11</v>
      </c>
      <c r="BL40">
        <v>0</v>
      </c>
      <c r="BM40">
        <v>2</v>
      </c>
      <c r="BN40">
        <v>0</v>
      </c>
      <c r="BO40">
        <v>3</v>
      </c>
      <c r="BP40">
        <v>4</v>
      </c>
      <c r="BQ40">
        <v>5</v>
      </c>
      <c r="BR40">
        <v>3</v>
      </c>
      <c r="BS40">
        <v>5</v>
      </c>
      <c r="BT40">
        <v>2</v>
      </c>
      <c r="BU40">
        <v>0</v>
      </c>
      <c r="BV40">
        <v>1</v>
      </c>
      <c r="BW40">
        <v>8</v>
      </c>
      <c r="BX40">
        <v>6</v>
      </c>
      <c r="BY40">
        <v>7</v>
      </c>
      <c r="BZ40">
        <v>3</v>
      </c>
      <c r="CB40" s="48">
        <f t="shared" si="0"/>
        <v>3.5882352941176472</v>
      </c>
      <c r="CC40" s="46">
        <v>0.5</v>
      </c>
      <c r="CD40" s="46">
        <f t="shared" si="1"/>
        <v>3.0109373863693474</v>
      </c>
      <c r="CE40" s="47">
        <f t="shared" si="2"/>
        <v>61</v>
      </c>
      <c r="CF40" s="47">
        <f t="shared" si="3"/>
        <v>0.26002323739446315</v>
      </c>
      <c r="CG40" s="48">
        <f t="shared" si="4"/>
        <v>3.8482585315121103</v>
      </c>
      <c r="CH40" s="48">
        <f t="shared" si="5"/>
        <v>3.3282120567231841</v>
      </c>
    </row>
    <row r="41" spans="1:92" x14ac:dyDescent="0.25">
      <c r="A41" t="s">
        <v>29</v>
      </c>
      <c r="B41">
        <v>1</v>
      </c>
      <c r="C41" t="s">
        <v>34</v>
      </c>
      <c r="D41" t="s">
        <v>35</v>
      </c>
      <c r="E41" s="2">
        <v>0</v>
      </c>
      <c r="F41">
        <v>0</v>
      </c>
      <c r="G41">
        <v>0</v>
      </c>
      <c r="H41">
        <v>0</v>
      </c>
      <c r="I41" t="s">
        <v>32</v>
      </c>
      <c r="J41">
        <v>0</v>
      </c>
      <c r="M41" t="s">
        <v>35</v>
      </c>
      <c r="N41">
        <v>58</v>
      </c>
      <c r="R41" t="s">
        <v>31</v>
      </c>
      <c r="S41">
        <v>33</v>
      </c>
      <c r="X41" s="37" t="s">
        <v>141</v>
      </c>
      <c r="Z41">
        <v>1</v>
      </c>
      <c r="AB41">
        <v>11</v>
      </c>
      <c r="AF41">
        <v>2</v>
      </c>
      <c r="AJ41">
        <v>3</v>
      </c>
      <c r="AL41">
        <v>4</v>
      </c>
      <c r="AM41">
        <v>5</v>
      </c>
      <c r="AO41">
        <v>3</v>
      </c>
      <c r="AQ41">
        <v>5</v>
      </c>
      <c r="AS41">
        <v>2</v>
      </c>
      <c r="AX41">
        <v>1</v>
      </c>
      <c r="AZ41">
        <v>8</v>
      </c>
      <c r="BB41">
        <v>6</v>
      </c>
      <c r="BD41">
        <v>7</v>
      </c>
      <c r="BF41">
        <v>3</v>
      </c>
      <c r="BG41">
        <v>61</v>
      </c>
      <c r="BI41" s="37" t="s">
        <v>142</v>
      </c>
      <c r="BJ41">
        <v>12</v>
      </c>
      <c r="BK41">
        <v>21</v>
      </c>
      <c r="BL41">
        <v>12</v>
      </c>
      <c r="BM41">
        <v>1</v>
      </c>
      <c r="BN41">
        <v>1</v>
      </c>
      <c r="BO41">
        <v>3</v>
      </c>
      <c r="BP41">
        <v>7</v>
      </c>
      <c r="BQ41">
        <v>8</v>
      </c>
      <c r="BR41">
        <v>12</v>
      </c>
      <c r="BS41">
        <v>12</v>
      </c>
      <c r="BT41">
        <v>9</v>
      </c>
      <c r="BU41">
        <v>0</v>
      </c>
      <c r="BV41">
        <v>8</v>
      </c>
      <c r="BW41">
        <v>18</v>
      </c>
      <c r="BX41">
        <v>9</v>
      </c>
      <c r="BY41">
        <v>7</v>
      </c>
      <c r="BZ41">
        <v>6</v>
      </c>
      <c r="CB41" s="48">
        <f t="shared" si="0"/>
        <v>8.5882352941176467</v>
      </c>
      <c r="CC41" s="46">
        <v>0.5</v>
      </c>
      <c r="CD41" s="46">
        <f t="shared" si="1"/>
        <v>5.541913276853589</v>
      </c>
      <c r="CE41" s="47">
        <f t="shared" si="2"/>
        <v>146</v>
      </c>
      <c r="CF41" s="47">
        <f t="shared" si="3"/>
        <v>0.30935607709198548</v>
      </c>
      <c r="CG41" s="48">
        <f t="shared" si="4"/>
        <v>8.8975913712096322</v>
      </c>
      <c r="CH41" s="48">
        <f t="shared" si="5"/>
        <v>8.2788792170256613</v>
      </c>
    </row>
    <row r="42" spans="1:92" x14ac:dyDescent="0.25">
      <c r="A42" t="s">
        <v>29</v>
      </c>
      <c r="B42">
        <v>1</v>
      </c>
      <c r="C42" t="s">
        <v>34</v>
      </c>
      <c r="D42" t="s">
        <v>35</v>
      </c>
      <c r="E42" s="2">
        <v>0</v>
      </c>
      <c r="F42">
        <v>0</v>
      </c>
      <c r="G42">
        <v>0</v>
      </c>
      <c r="H42">
        <v>0</v>
      </c>
      <c r="I42" t="s">
        <v>32</v>
      </c>
      <c r="J42">
        <v>0</v>
      </c>
      <c r="M42" t="s">
        <v>35</v>
      </c>
      <c r="N42">
        <v>4</v>
      </c>
      <c r="R42" t="s">
        <v>31</v>
      </c>
      <c r="S42">
        <v>14</v>
      </c>
      <c r="X42" s="37" t="s">
        <v>142</v>
      </c>
      <c r="Z42">
        <v>12</v>
      </c>
      <c r="AB42">
        <v>21</v>
      </c>
      <c r="AD42">
        <v>12</v>
      </c>
      <c r="AF42">
        <v>1</v>
      </c>
      <c r="AH42">
        <v>1</v>
      </c>
      <c r="AJ42">
        <v>3</v>
      </c>
      <c r="AL42">
        <v>7</v>
      </c>
      <c r="AM42">
        <v>8</v>
      </c>
      <c r="AO42">
        <v>12</v>
      </c>
      <c r="AQ42">
        <v>12</v>
      </c>
      <c r="AS42">
        <v>9</v>
      </c>
      <c r="AX42">
        <v>8</v>
      </c>
      <c r="AZ42">
        <v>18</v>
      </c>
      <c r="BB42">
        <v>9</v>
      </c>
      <c r="BD42">
        <v>7</v>
      </c>
      <c r="BF42">
        <v>6</v>
      </c>
      <c r="BG42">
        <v>146</v>
      </c>
      <c r="BI42" s="37" t="s">
        <v>143</v>
      </c>
      <c r="BJ42">
        <v>9</v>
      </c>
      <c r="BK42">
        <v>8</v>
      </c>
      <c r="BL42">
        <v>5</v>
      </c>
      <c r="BM42">
        <v>1</v>
      </c>
      <c r="BN42">
        <v>0</v>
      </c>
      <c r="BO42">
        <v>2</v>
      </c>
      <c r="BP42">
        <v>7</v>
      </c>
      <c r="BQ42">
        <v>10</v>
      </c>
      <c r="BR42">
        <v>10</v>
      </c>
      <c r="BS42">
        <v>11</v>
      </c>
      <c r="BT42">
        <v>9</v>
      </c>
      <c r="BU42">
        <v>0</v>
      </c>
      <c r="BV42">
        <v>7</v>
      </c>
      <c r="BW42">
        <v>4</v>
      </c>
      <c r="BX42">
        <v>3</v>
      </c>
      <c r="BY42">
        <v>2</v>
      </c>
      <c r="BZ42">
        <v>0</v>
      </c>
      <c r="CB42" s="48">
        <f t="shared" si="0"/>
        <v>5.1764705882352944</v>
      </c>
      <c r="CC42" s="46">
        <v>0.5</v>
      </c>
      <c r="CD42" s="46">
        <f t="shared" si="1"/>
        <v>3.8230768962992756</v>
      </c>
      <c r="CE42" s="47">
        <f t="shared" si="2"/>
        <v>88</v>
      </c>
      <c r="CF42" s="47">
        <f t="shared" si="3"/>
        <v>0.27488247447624803</v>
      </c>
      <c r="CG42" s="48">
        <f t="shared" si="4"/>
        <v>5.4513530627115427</v>
      </c>
      <c r="CH42" s="48">
        <f t="shared" si="5"/>
        <v>4.901588113759046</v>
      </c>
    </row>
    <row r="43" spans="1:92" x14ac:dyDescent="0.25">
      <c r="A43" t="s">
        <v>29</v>
      </c>
      <c r="B43">
        <v>1</v>
      </c>
      <c r="C43" t="s">
        <v>34</v>
      </c>
      <c r="D43" t="s">
        <v>35</v>
      </c>
      <c r="E43" s="2">
        <v>0</v>
      </c>
      <c r="F43">
        <v>0</v>
      </c>
      <c r="G43">
        <v>0</v>
      </c>
      <c r="H43">
        <v>0</v>
      </c>
      <c r="I43" t="s">
        <v>32</v>
      </c>
      <c r="J43">
        <v>0</v>
      </c>
      <c r="M43" t="s">
        <v>35</v>
      </c>
      <c r="N43">
        <v>75</v>
      </c>
      <c r="R43" t="s">
        <v>31</v>
      </c>
      <c r="S43">
        <v>0</v>
      </c>
      <c r="X43" s="37" t="s">
        <v>143</v>
      </c>
      <c r="Z43">
        <v>9</v>
      </c>
      <c r="AB43">
        <v>8</v>
      </c>
      <c r="AD43">
        <v>5</v>
      </c>
      <c r="AF43">
        <v>1</v>
      </c>
      <c r="AJ43">
        <v>2</v>
      </c>
      <c r="AL43">
        <v>7</v>
      </c>
      <c r="AM43">
        <v>10</v>
      </c>
      <c r="AO43">
        <v>10</v>
      </c>
      <c r="AQ43">
        <v>11</v>
      </c>
      <c r="AS43">
        <v>9</v>
      </c>
      <c r="AX43">
        <v>7</v>
      </c>
      <c r="AZ43">
        <v>4</v>
      </c>
      <c r="BB43">
        <v>3</v>
      </c>
      <c r="BD43">
        <v>2</v>
      </c>
      <c r="BG43">
        <v>88</v>
      </c>
      <c r="BI43" s="37" t="s">
        <v>144</v>
      </c>
      <c r="BJ43">
        <v>7</v>
      </c>
      <c r="BK43">
        <v>19</v>
      </c>
      <c r="BL43">
        <v>2</v>
      </c>
      <c r="BM43">
        <v>2</v>
      </c>
      <c r="BN43">
        <v>0</v>
      </c>
      <c r="BO43">
        <v>6</v>
      </c>
      <c r="BP43">
        <v>6</v>
      </c>
      <c r="BQ43">
        <v>6</v>
      </c>
      <c r="BR43">
        <v>3</v>
      </c>
      <c r="BS43">
        <v>13</v>
      </c>
      <c r="BT43">
        <v>6</v>
      </c>
      <c r="BU43">
        <v>0</v>
      </c>
      <c r="BV43">
        <v>6</v>
      </c>
      <c r="BW43">
        <v>3</v>
      </c>
      <c r="BX43">
        <v>1</v>
      </c>
      <c r="BY43">
        <v>2</v>
      </c>
      <c r="BZ43">
        <v>0</v>
      </c>
      <c r="CB43" s="48">
        <f t="shared" si="0"/>
        <v>4.8235294117647056</v>
      </c>
      <c r="CC43" s="46">
        <v>0.5</v>
      </c>
      <c r="CD43" s="46">
        <f t="shared" si="1"/>
        <v>4.8170688441348801</v>
      </c>
      <c r="CE43" s="47">
        <f t="shared" si="2"/>
        <v>82</v>
      </c>
      <c r="CF43" s="47">
        <f t="shared" si="3"/>
        <v>0.3587990473949248</v>
      </c>
      <c r="CG43" s="48">
        <f t="shared" si="4"/>
        <v>5.1823284591596304</v>
      </c>
      <c r="CH43" s="48">
        <f t="shared" si="5"/>
        <v>4.4647303643697809</v>
      </c>
    </row>
    <row r="44" spans="1:92" x14ac:dyDescent="0.25">
      <c r="A44" t="s">
        <v>29</v>
      </c>
      <c r="B44">
        <v>1</v>
      </c>
      <c r="C44" t="s">
        <v>34</v>
      </c>
      <c r="D44" t="s">
        <v>35</v>
      </c>
      <c r="E44" s="2">
        <v>0</v>
      </c>
      <c r="F44">
        <v>0</v>
      </c>
      <c r="G44">
        <v>0</v>
      </c>
      <c r="H44">
        <v>0</v>
      </c>
      <c r="I44" t="s">
        <v>32</v>
      </c>
      <c r="J44">
        <v>0</v>
      </c>
      <c r="M44" t="s">
        <v>35</v>
      </c>
      <c r="N44">
        <v>62</v>
      </c>
      <c r="R44" t="s">
        <v>31</v>
      </c>
      <c r="S44">
        <v>0</v>
      </c>
      <c r="X44" s="37" t="s">
        <v>148</v>
      </c>
      <c r="Z44">
        <v>8</v>
      </c>
      <c r="AB44">
        <v>26</v>
      </c>
      <c r="AD44">
        <v>6</v>
      </c>
      <c r="AF44">
        <v>9</v>
      </c>
      <c r="AH44">
        <v>2</v>
      </c>
      <c r="AJ44">
        <v>5</v>
      </c>
      <c r="AL44">
        <v>14</v>
      </c>
      <c r="AM44">
        <v>10</v>
      </c>
      <c r="AO44">
        <v>29</v>
      </c>
      <c r="AQ44">
        <v>9</v>
      </c>
      <c r="AS44">
        <v>6</v>
      </c>
      <c r="AV44">
        <v>1</v>
      </c>
      <c r="AX44">
        <v>12</v>
      </c>
      <c r="AZ44">
        <v>20</v>
      </c>
      <c r="BB44">
        <v>7</v>
      </c>
      <c r="BD44">
        <v>11</v>
      </c>
      <c r="BF44">
        <v>2</v>
      </c>
      <c r="BG44">
        <v>177</v>
      </c>
      <c r="BI44" s="37" t="s">
        <v>103</v>
      </c>
      <c r="BJ44">
        <v>1</v>
      </c>
      <c r="BK44">
        <v>3</v>
      </c>
      <c r="BL44">
        <v>5</v>
      </c>
      <c r="BM44">
        <v>0</v>
      </c>
      <c r="BN44">
        <v>0</v>
      </c>
      <c r="BO44">
        <v>2</v>
      </c>
      <c r="BP44">
        <v>1</v>
      </c>
      <c r="BQ44">
        <v>1</v>
      </c>
      <c r="BR44">
        <v>2</v>
      </c>
      <c r="BS44">
        <v>3</v>
      </c>
      <c r="BT44">
        <v>4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B44" s="48">
        <f t="shared" si="0"/>
        <v>1.2941176470588236</v>
      </c>
      <c r="CC44" s="46">
        <v>0.5</v>
      </c>
      <c r="CD44" s="46">
        <f t="shared" si="1"/>
        <v>1.5629800300689909</v>
      </c>
      <c r="CE44" s="47">
        <f t="shared" si="2"/>
        <v>22</v>
      </c>
      <c r="CF44" s="47">
        <f t="shared" si="3"/>
        <v>0.22475918213322396</v>
      </c>
      <c r="CG44" s="48">
        <f t="shared" si="4"/>
        <v>1.5188768291920476</v>
      </c>
      <c r="CH44" s="48">
        <f t="shared" si="5"/>
        <v>1.0693584649255996</v>
      </c>
    </row>
    <row r="45" spans="1:92" x14ac:dyDescent="0.25">
      <c r="A45" t="s">
        <v>29</v>
      </c>
      <c r="B45">
        <v>1</v>
      </c>
      <c r="C45" t="s">
        <v>34</v>
      </c>
      <c r="D45" t="s">
        <v>35</v>
      </c>
      <c r="E45" s="2">
        <v>0</v>
      </c>
      <c r="F45">
        <v>0</v>
      </c>
      <c r="G45">
        <v>0</v>
      </c>
      <c r="H45">
        <v>0</v>
      </c>
      <c r="I45" t="s">
        <v>32</v>
      </c>
      <c r="J45">
        <v>0</v>
      </c>
      <c r="M45" t="s">
        <v>35</v>
      </c>
      <c r="N45">
        <v>73</v>
      </c>
      <c r="R45" t="s">
        <v>31</v>
      </c>
      <c r="S45">
        <v>50</v>
      </c>
      <c r="X45" s="37" t="s">
        <v>149</v>
      </c>
      <c r="Z45">
        <v>6</v>
      </c>
      <c r="AB45">
        <v>17</v>
      </c>
      <c r="AD45">
        <v>3</v>
      </c>
      <c r="AF45">
        <v>8</v>
      </c>
      <c r="AH45">
        <v>3</v>
      </c>
      <c r="AJ45">
        <v>10</v>
      </c>
      <c r="AL45">
        <v>5</v>
      </c>
      <c r="AM45">
        <v>16</v>
      </c>
      <c r="AO45">
        <v>17</v>
      </c>
      <c r="AQ45">
        <v>3</v>
      </c>
      <c r="AS45">
        <v>4</v>
      </c>
      <c r="AX45">
        <v>9</v>
      </c>
      <c r="AZ45">
        <v>17</v>
      </c>
      <c r="BB45">
        <v>8</v>
      </c>
      <c r="BD45">
        <v>13</v>
      </c>
      <c r="BF45">
        <v>3</v>
      </c>
      <c r="BG45">
        <v>142</v>
      </c>
      <c r="CF45" s="41"/>
    </row>
    <row r="46" spans="1:92" x14ac:dyDescent="0.25">
      <c r="A46" t="s">
        <v>29</v>
      </c>
      <c r="B46">
        <v>1</v>
      </c>
      <c r="C46" t="s">
        <v>34</v>
      </c>
      <c r="D46" t="s">
        <v>35</v>
      </c>
      <c r="E46" s="2">
        <v>0</v>
      </c>
      <c r="F46">
        <v>0</v>
      </c>
      <c r="G46">
        <v>0</v>
      </c>
      <c r="H46">
        <v>0</v>
      </c>
      <c r="I46" t="s">
        <v>32</v>
      </c>
      <c r="J46">
        <v>0</v>
      </c>
      <c r="M46" t="s">
        <v>35</v>
      </c>
      <c r="N46">
        <v>9</v>
      </c>
      <c r="R46" t="s">
        <v>31</v>
      </c>
      <c r="S46">
        <v>109</v>
      </c>
      <c r="X46" s="36" t="s">
        <v>146</v>
      </c>
      <c r="Y46">
        <v>4</v>
      </c>
      <c r="Z46">
        <v>57</v>
      </c>
      <c r="AA46">
        <v>26</v>
      </c>
      <c r="AB46">
        <v>142</v>
      </c>
      <c r="AC46">
        <v>14</v>
      </c>
      <c r="AD46">
        <v>62</v>
      </c>
      <c r="AE46">
        <v>17</v>
      </c>
      <c r="AF46">
        <v>32</v>
      </c>
      <c r="AG46">
        <v>9</v>
      </c>
      <c r="AH46">
        <v>9</v>
      </c>
      <c r="AI46">
        <v>41</v>
      </c>
      <c r="AJ46">
        <v>46</v>
      </c>
      <c r="AK46">
        <v>38</v>
      </c>
      <c r="AL46">
        <v>78</v>
      </c>
      <c r="AM46">
        <v>107</v>
      </c>
      <c r="AN46">
        <v>20</v>
      </c>
      <c r="AO46">
        <v>136</v>
      </c>
      <c r="AP46">
        <v>73</v>
      </c>
      <c r="AQ46">
        <v>68</v>
      </c>
      <c r="AR46">
        <v>75</v>
      </c>
      <c r="AS46">
        <v>78</v>
      </c>
      <c r="AT46">
        <v>45</v>
      </c>
      <c r="AU46">
        <v>55</v>
      </c>
      <c r="AV46">
        <v>2</v>
      </c>
      <c r="AW46">
        <v>76</v>
      </c>
      <c r="AX46">
        <v>60</v>
      </c>
      <c r="AY46">
        <v>55</v>
      </c>
      <c r="AZ46">
        <v>132</v>
      </c>
      <c r="BA46">
        <v>66</v>
      </c>
      <c r="BB46">
        <v>57</v>
      </c>
      <c r="BC46">
        <v>73</v>
      </c>
      <c r="BD46">
        <v>84</v>
      </c>
      <c r="BE46">
        <v>92</v>
      </c>
      <c r="BF46">
        <v>21</v>
      </c>
      <c r="BG46">
        <v>1950</v>
      </c>
      <c r="CF46" s="41"/>
    </row>
    <row r="47" spans="1:92" x14ac:dyDescent="0.25">
      <c r="A47" t="s">
        <v>29</v>
      </c>
      <c r="B47">
        <v>1</v>
      </c>
      <c r="C47" t="s">
        <v>34</v>
      </c>
      <c r="D47" t="s">
        <v>35</v>
      </c>
      <c r="E47" s="2">
        <v>0</v>
      </c>
      <c r="F47">
        <v>0</v>
      </c>
      <c r="G47">
        <v>0</v>
      </c>
      <c r="H47">
        <v>0</v>
      </c>
      <c r="I47" t="s">
        <v>32</v>
      </c>
      <c r="J47">
        <v>0</v>
      </c>
      <c r="M47" t="s">
        <v>35</v>
      </c>
      <c r="N47">
        <v>55</v>
      </c>
      <c r="R47" t="s">
        <v>31</v>
      </c>
      <c r="S47">
        <v>92</v>
      </c>
    </row>
    <row r="48" spans="1:92" x14ac:dyDescent="0.25">
      <c r="A48" t="s">
        <v>29</v>
      </c>
      <c r="B48">
        <v>2</v>
      </c>
      <c r="C48" t="s">
        <v>30</v>
      </c>
      <c r="D48" t="s">
        <v>36</v>
      </c>
      <c r="E48" s="2">
        <v>0</v>
      </c>
      <c r="F48">
        <v>0</v>
      </c>
      <c r="G48">
        <v>0</v>
      </c>
      <c r="H48">
        <v>0</v>
      </c>
      <c r="I48" t="s">
        <v>32</v>
      </c>
      <c r="J48">
        <v>0</v>
      </c>
      <c r="M48" t="s">
        <v>35</v>
      </c>
      <c r="N48">
        <v>49</v>
      </c>
      <c r="R48" t="s">
        <v>31</v>
      </c>
      <c r="S48">
        <v>88</v>
      </c>
    </row>
    <row r="49" spans="1:25" x14ac:dyDescent="0.25">
      <c r="A49" t="s">
        <v>29</v>
      </c>
      <c r="B49">
        <v>2</v>
      </c>
      <c r="C49" t="s">
        <v>30</v>
      </c>
      <c r="D49" t="s">
        <v>36</v>
      </c>
      <c r="E49" s="2">
        <v>0</v>
      </c>
      <c r="F49">
        <v>0</v>
      </c>
      <c r="G49">
        <v>0</v>
      </c>
      <c r="H49">
        <v>0</v>
      </c>
      <c r="I49" t="s">
        <v>32</v>
      </c>
      <c r="J49">
        <v>0</v>
      </c>
      <c r="M49" t="s">
        <v>35</v>
      </c>
      <c r="N49">
        <v>0</v>
      </c>
      <c r="R49" t="s">
        <v>31</v>
      </c>
      <c r="S49">
        <v>22</v>
      </c>
    </row>
    <row r="50" spans="1:25" x14ac:dyDescent="0.25">
      <c r="A50" t="s">
        <v>29</v>
      </c>
      <c r="B50">
        <v>2</v>
      </c>
      <c r="C50" t="s">
        <v>30</v>
      </c>
      <c r="D50" t="s">
        <v>36</v>
      </c>
      <c r="E50" s="2">
        <v>0</v>
      </c>
      <c r="F50">
        <v>0</v>
      </c>
      <c r="G50">
        <v>0</v>
      </c>
      <c r="H50">
        <v>0</v>
      </c>
      <c r="I50" t="s">
        <v>32</v>
      </c>
      <c r="J50">
        <v>0</v>
      </c>
      <c r="M50" t="s">
        <v>35</v>
      </c>
      <c r="N50">
        <v>6</v>
      </c>
      <c r="R50" t="s">
        <v>31</v>
      </c>
      <c r="S50">
        <v>0</v>
      </c>
    </row>
    <row r="51" spans="1:25" x14ac:dyDescent="0.25">
      <c r="A51" t="s">
        <v>29</v>
      </c>
      <c r="B51">
        <v>2</v>
      </c>
      <c r="C51" t="s">
        <v>30</v>
      </c>
      <c r="D51" t="s">
        <v>36</v>
      </c>
      <c r="E51" s="2">
        <v>0</v>
      </c>
      <c r="F51">
        <v>0</v>
      </c>
      <c r="G51">
        <v>0</v>
      </c>
      <c r="H51">
        <v>0</v>
      </c>
      <c r="I51" t="s">
        <v>32</v>
      </c>
      <c r="J51">
        <v>0</v>
      </c>
      <c r="M51" t="s">
        <v>35</v>
      </c>
      <c r="N51">
        <v>32</v>
      </c>
      <c r="R51" t="s">
        <v>31</v>
      </c>
      <c r="S51">
        <v>0</v>
      </c>
    </row>
    <row r="52" spans="1:25" x14ac:dyDescent="0.25">
      <c r="A52" t="s">
        <v>29</v>
      </c>
      <c r="B52">
        <v>2</v>
      </c>
      <c r="C52" t="s">
        <v>30</v>
      </c>
      <c r="D52" t="s">
        <v>36</v>
      </c>
      <c r="E52" s="2">
        <v>0</v>
      </c>
      <c r="F52">
        <v>0</v>
      </c>
      <c r="G52">
        <v>0</v>
      </c>
      <c r="H52">
        <v>0</v>
      </c>
      <c r="I52" t="s">
        <v>32</v>
      </c>
      <c r="J52">
        <v>0</v>
      </c>
      <c r="M52" t="s">
        <v>35</v>
      </c>
      <c r="N52">
        <v>28</v>
      </c>
      <c r="R52" t="s">
        <v>31</v>
      </c>
      <c r="S52">
        <v>10</v>
      </c>
    </row>
    <row r="53" spans="1:25" x14ac:dyDescent="0.25">
      <c r="A53" t="s">
        <v>29</v>
      </c>
      <c r="B53">
        <v>2</v>
      </c>
      <c r="C53" t="s">
        <v>30</v>
      </c>
      <c r="D53" t="s">
        <v>36</v>
      </c>
      <c r="E53" s="2">
        <v>0</v>
      </c>
      <c r="F53">
        <v>0</v>
      </c>
      <c r="G53">
        <v>0</v>
      </c>
      <c r="H53">
        <v>0</v>
      </c>
      <c r="I53" t="s">
        <v>32</v>
      </c>
      <c r="J53">
        <v>0</v>
      </c>
      <c r="M53" t="s">
        <v>35</v>
      </c>
      <c r="N53">
        <v>41</v>
      </c>
      <c r="R53" t="s">
        <v>31</v>
      </c>
      <c r="S53">
        <v>102</v>
      </c>
      <c r="X53" s="38" t="s">
        <v>145</v>
      </c>
      <c r="Y53" s="38" t="s">
        <v>147</v>
      </c>
    </row>
    <row r="54" spans="1:25" x14ac:dyDescent="0.25">
      <c r="A54" t="s">
        <v>29</v>
      </c>
      <c r="B54">
        <v>2</v>
      </c>
      <c r="C54" t="s">
        <v>30</v>
      </c>
      <c r="D54" t="s">
        <v>36</v>
      </c>
      <c r="E54" s="2">
        <v>0</v>
      </c>
      <c r="F54">
        <v>0</v>
      </c>
      <c r="G54">
        <v>0</v>
      </c>
      <c r="H54">
        <v>0</v>
      </c>
      <c r="I54" t="s">
        <v>32</v>
      </c>
      <c r="J54">
        <v>0</v>
      </c>
      <c r="M54" t="s">
        <v>35</v>
      </c>
      <c r="N54">
        <v>6</v>
      </c>
      <c r="R54" t="s">
        <v>31</v>
      </c>
      <c r="S54">
        <v>58</v>
      </c>
      <c r="X54" s="39" t="s">
        <v>32</v>
      </c>
      <c r="Y54" s="40">
        <v>1152</v>
      </c>
    </row>
    <row r="55" spans="1:25" x14ac:dyDescent="0.25">
      <c r="A55" t="s">
        <v>29</v>
      </c>
      <c r="B55">
        <v>2</v>
      </c>
      <c r="C55" t="s">
        <v>30</v>
      </c>
      <c r="D55" t="s">
        <v>36</v>
      </c>
      <c r="E55" s="2">
        <v>0</v>
      </c>
      <c r="F55">
        <v>0</v>
      </c>
      <c r="G55">
        <v>0</v>
      </c>
      <c r="H55">
        <v>0</v>
      </c>
      <c r="I55" t="s">
        <v>32</v>
      </c>
      <c r="J55">
        <v>0</v>
      </c>
      <c r="M55" t="s">
        <v>35</v>
      </c>
      <c r="N55">
        <v>4</v>
      </c>
      <c r="R55" t="s">
        <v>31</v>
      </c>
      <c r="S55">
        <v>0</v>
      </c>
      <c r="X55" s="37">
        <v>0</v>
      </c>
      <c r="Y55">
        <v>564</v>
      </c>
    </row>
    <row r="56" spans="1:25" x14ac:dyDescent="0.25">
      <c r="A56" t="s">
        <v>29</v>
      </c>
      <c r="B56">
        <v>2</v>
      </c>
      <c r="C56" t="s">
        <v>30</v>
      </c>
      <c r="D56" t="s">
        <v>36</v>
      </c>
      <c r="E56" s="2">
        <v>0</v>
      </c>
      <c r="F56">
        <v>0</v>
      </c>
      <c r="G56">
        <v>0</v>
      </c>
      <c r="H56">
        <v>0</v>
      </c>
      <c r="I56" t="s">
        <v>32</v>
      </c>
      <c r="J56">
        <v>0</v>
      </c>
      <c r="M56" t="s">
        <v>35</v>
      </c>
      <c r="N56">
        <v>44</v>
      </c>
      <c r="R56" t="s">
        <v>31</v>
      </c>
      <c r="S56">
        <v>5</v>
      </c>
      <c r="X56" s="37" t="s">
        <v>144</v>
      </c>
      <c r="Y56">
        <v>79</v>
      </c>
    </row>
    <row r="57" spans="1:25" x14ac:dyDescent="0.25">
      <c r="A57" t="s">
        <v>29</v>
      </c>
      <c r="B57">
        <v>2</v>
      </c>
      <c r="C57" t="s">
        <v>30</v>
      </c>
      <c r="D57" t="s">
        <v>36</v>
      </c>
      <c r="E57" s="2">
        <v>0</v>
      </c>
      <c r="F57">
        <v>0</v>
      </c>
      <c r="G57">
        <v>0</v>
      </c>
      <c r="H57">
        <v>0</v>
      </c>
      <c r="I57" t="s">
        <v>32</v>
      </c>
      <c r="J57">
        <v>0</v>
      </c>
      <c r="M57" t="s">
        <v>35</v>
      </c>
      <c r="N57">
        <v>0</v>
      </c>
      <c r="R57" t="s">
        <v>36</v>
      </c>
      <c r="S57">
        <v>4</v>
      </c>
      <c r="X57" s="37" t="s">
        <v>103</v>
      </c>
      <c r="Y57">
        <v>40</v>
      </c>
    </row>
    <row r="58" spans="1:25" x14ac:dyDescent="0.25">
      <c r="A58" t="s">
        <v>29</v>
      </c>
      <c r="B58">
        <v>2</v>
      </c>
      <c r="C58" t="s">
        <v>30</v>
      </c>
      <c r="D58" t="s">
        <v>36</v>
      </c>
      <c r="E58" s="2">
        <v>0</v>
      </c>
      <c r="F58">
        <v>0</v>
      </c>
      <c r="G58">
        <v>0</v>
      </c>
      <c r="H58">
        <v>0</v>
      </c>
      <c r="I58" t="s">
        <v>32</v>
      </c>
      <c r="J58">
        <v>0</v>
      </c>
      <c r="M58" t="s">
        <v>35</v>
      </c>
      <c r="N58">
        <v>0</v>
      </c>
      <c r="R58" t="s">
        <v>36</v>
      </c>
      <c r="S58">
        <v>6</v>
      </c>
      <c r="X58" s="37" t="s">
        <v>139</v>
      </c>
      <c r="Y58">
        <v>25</v>
      </c>
    </row>
    <row r="59" spans="1:25" x14ac:dyDescent="0.25">
      <c r="A59" t="s">
        <v>29</v>
      </c>
      <c r="B59">
        <v>2</v>
      </c>
      <c r="C59" t="s">
        <v>30</v>
      </c>
      <c r="D59" t="s">
        <v>36</v>
      </c>
      <c r="E59" s="2">
        <v>0</v>
      </c>
      <c r="F59">
        <v>0</v>
      </c>
      <c r="G59">
        <v>0</v>
      </c>
      <c r="H59">
        <v>0</v>
      </c>
      <c r="I59" t="s">
        <v>32</v>
      </c>
      <c r="J59">
        <v>0</v>
      </c>
      <c r="M59" t="s">
        <v>35</v>
      </c>
      <c r="N59">
        <v>20</v>
      </c>
      <c r="R59" t="s">
        <v>36</v>
      </c>
      <c r="S59">
        <v>8</v>
      </c>
      <c r="X59" s="37" t="s">
        <v>140</v>
      </c>
      <c r="Y59">
        <v>18</v>
      </c>
    </row>
    <row r="60" spans="1:25" x14ac:dyDescent="0.25">
      <c r="A60" t="s">
        <v>29</v>
      </c>
      <c r="B60">
        <v>2</v>
      </c>
      <c r="C60" t="s">
        <v>30</v>
      </c>
      <c r="D60" t="s">
        <v>36</v>
      </c>
      <c r="E60" s="2">
        <v>0</v>
      </c>
      <c r="F60">
        <v>0</v>
      </c>
      <c r="G60">
        <v>0</v>
      </c>
      <c r="H60">
        <v>0</v>
      </c>
      <c r="I60" t="s">
        <v>32</v>
      </c>
      <c r="J60">
        <v>0</v>
      </c>
      <c r="M60" t="s">
        <v>35</v>
      </c>
      <c r="N60">
        <v>0</v>
      </c>
      <c r="R60" t="s">
        <v>36</v>
      </c>
      <c r="S60">
        <v>18</v>
      </c>
      <c r="X60" s="37" t="s">
        <v>141</v>
      </c>
      <c r="Y60">
        <v>17</v>
      </c>
    </row>
    <row r="61" spans="1:25" x14ac:dyDescent="0.25">
      <c r="A61" t="s">
        <v>29</v>
      </c>
      <c r="B61">
        <v>2</v>
      </c>
      <c r="C61" t="s">
        <v>30</v>
      </c>
      <c r="D61" t="s">
        <v>36</v>
      </c>
      <c r="E61" s="2">
        <v>0</v>
      </c>
      <c r="F61">
        <v>0</v>
      </c>
      <c r="G61">
        <v>0</v>
      </c>
      <c r="H61">
        <v>0</v>
      </c>
      <c r="I61" t="s">
        <v>32</v>
      </c>
      <c r="J61">
        <v>0</v>
      </c>
      <c r="M61" t="s">
        <v>35</v>
      </c>
      <c r="N61">
        <v>6</v>
      </c>
      <c r="R61" t="s">
        <v>36</v>
      </c>
      <c r="S61">
        <v>27</v>
      </c>
      <c r="X61" s="37" t="s">
        <v>142</v>
      </c>
      <c r="Y61">
        <v>34</v>
      </c>
    </row>
    <row r="62" spans="1:25" x14ac:dyDescent="0.25">
      <c r="A62" t="s">
        <v>29</v>
      </c>
      <c r="B62">
        <v>2</v>
      </c>
      <c r="C62" t="s">
        <v>30</v>
      </c>
      <c r="D62" t="s">
        <v>36</v>
      </c>
      <c r="E62" s="2">
        <v>0</v>
      </c>
      <c r="F62">
        <v>0</v>
      </c>
      <c r="G62">
        <v>0</v>
      </c>
      <c r="H62">
        <v>0</v>
      </c>
      <c r="I62" t="s">
        <v>32</v>
      </c>
      <c r="J62">
        <v>0</v>
      </c>
      <c r="M62" t="s">
        <v>35</v>
      </c>
      <c r="N62">
        <v>13</v>
      </c>
      <c r="R62" t="s">
        <v>36</v>
      </c>
      <c r="S62">
        <v>31</v>
      </c>
      <c r="X62" s="37" t="s">
        <v>143</v>
      </c>
      <c r="Y62">
        <v>16</v>
      </c>
    </row>
    <row r="63" spans="1:25" x14ac:dyDescent="0.25">
      <c r="A63" t="s">
        <v>29</v>
      </c>
      <c r="B63">
        <v>2</v>
      </c>
      <c r="C63" t="s">
        <v>30</v>
      </c>
      <c r="D63" t="s">
        <v>36</v>
      </c>
      <c r="E63" s="2">
        <v>0</v>
      </c>
      <c r="F63">
        <v>0</v>
      </c>
      <c r="G63">
        <v>0</v>
      </c>
      <c r="H63">
        <v>0</v>
      </c>
      <c r="I63" t="s">
        <v>32</v>
      </c>
      <c r="J63">
        <v>0</v>
      </c>
      <c r="M63" t="s">
        <v>35</v>
      </c>
      <c r="N63">
        <v>0</v>
      </c>
      <c r="R63" t="s">
        <v>36</v>
      </c>
      <c r="S63">
        <v>0</v>
      </c>
      <c r="X63" s="37" t="s">
        <v>148</v>
      </c>
      <c r="Y63">
        <v>316</v>
      </c>
    </row>
    <row r="64" spans="1:25" x14ac:dyDescent="0.25">
      <c r="A64" t="s">
        <v>29</v>
      </c>
      <c r="B64">
        <v>2</v>
      </c>
      <c r="C64" t="s">
        <v>30</v>
      </c>
      <c r="D64" t="s">
        <v>36</v>
      </c>
      <c r="E64" s="2">
        <v>0</v>
      </c>
      <c r="F64">
        <v>0</v>
      </c>
      <c r="G64">
        <v>0</v>
      </c>
      <c r="H64">
        <v>0</v>
      </c>
      <c r="I64" t="s">
        <v>32</v>
      </c>
      <c r="J64">
        <v>0</v>
      </c>
      <c r="M64" t="s">
        <v>35</v>
      </c>
      <c r="N64">
        <v>24</v>
      </c>
      <c r="R64" t="s">
        <v>36</v>
      </c>
      <c r="S64">
        <v>8</v>
      </c>
      <c r="X64" s="37" t="s">
        <v>149</v>
      </c>
      <c r="Y64">
        <v>49</v>
      </c>
    </row>
    <row r="65" spans="1:26" x14ac:dyDescent="0.25">
      <c r="A65" t="s">
        <v>29</v>
      </c>
      <c r="B65">
        <v>2</v>
      </c>
      <c r="C65" t="s">
        <v>34</v>
      </c>
      <c r="D65" t="s">
        <v>37</v>
      </c>
      <c r="E65" s="2">
        <v>0</v>
      </c>
      <c r="F65">
        <v>0</v>
      </c>
      <c r="G65">
        <v>0</v>
      </c>
      <c r="H65">
        <v>0</v>
      </c>
      <c r="I65" t="s">
        <v>32</v>
      </c>
      <c r="J65">
        <v>0</v>
      </c>
      <c r="M65" t="s">
        <v>35</v>
      </c>
      <c r="N65">
        <v>0</v>
      </c>
      <c r="R65" t="s">
        <v>36</v>
      </c>
      <c r="S65">
        <v>10</v>
      </c>
      <c r="X65" s="39" t="s">
        <v>33</v>
      </c>
      <c r="Y65" s="40">
        <v>798</v>
      </c>
    </row>
    <row r="66" spans="1:26" x14ac:dyDescent="0.25">
      <c r="A66" t="s">
        <v>29</v>
      </c>
      <c r="B66">
        <v>2</v>
      </c>
      <c r="C66" t="s">
        <v>34</v>
      </c>
      <c r="D66" t="s">
        <v>37</v>
      </c>
      <c r="E66" s="2">
        <v>0</v>
      </c>
      <c r="F66">
        <v>0</v>
      </c>
      <c r="G66">
        <v>0</v>
      </c>
      <c r="H66">
        <v>0</v>
      </c>
      <c r="I66" t="s">
        <v>32</v>
      </c>
      <c r="J66">
        <v>0</v>
      </c>
      <c r="M66" t="s">
        <v>35</v>
      </c>
      <c r="N66">
        <v>11</v>
      </c>
      <c r="R66" t="s">
        <v>36</v>
      </c>
      <c r="S66">
        <v>9</v>
      </c>
      <c r="X66" s="37" t="s">
        <v>144</v>
      </c>
      <c r="Y66">
        <v>48</v>
      </c>
    </row>
    <row r="67" spans="1:26" x14ac:dyDescent="0.25">
      <c r="A67" t="s">
        <v>29</v>
      </c>
      <c r="B67">
        <v>2</v>
      </c>
      <c r="C67" t="s">
        <v>34</v>
      </c>
      <c r="D67" t="s">
        <v>37</v>
      </c>
      <c r="E67" s="2">
        <v>0</v>
      </c>
      <c r="F67">
        <v>0</v>
      </c>
      <c r="G67">
        <v>0</v>
      </c>
      <c r="H67">
        <v>0</v>
      </c>
      <c r="I67" t="s">
        <v>32</v>
      </c>
      <c r="J67">
        <v>0</v>
      </c>
      <c r="M67" t="s">
        <v>35</v>
      </c>
      <c r="N67">
        <v>8</v>
      </c>
      <c r="R67" t="s">
        <v>36</v>
      </c>
      <c r="S67">
        <v>11</v>
      </c>
      <c r="X67" s="37" t="s">
        <v>103</v>
      </c>
      <c r="Y67">
        <v>1</v>
      </c>
    </row>
    <row r="68" spans="1:26" x14ac:dyDescent="0.25">
      <c r="A68" t="s">
        <v>29</v>
      </c>
      <c r="B68">
        <v>2</v>
      </c>
      <c r="C68" t="s">
        <v>34</v>
      </c>
      <c r="D68" t="s">
        <v>37</v>
      </c>
      <c r="E68" s="2">
        <v>0</v>
      </c>
      <c r="F68">
        <v>0</v>
      </c>
      <c r="G68">
        <v>0</v>
      </c>
      <c r="H68">
        <v>0</v>
      </c>
      <c r="I68" t="s">
        <v>32</v>
      </c>
      <c r="J68">
        <v>0</v>
      </c>
      <c r="M68" t="s">
        <v>35</v>
      </c>
      <c r="N68">
        <v>23</v>
      </c>
      <c r="R68" t="s">
        <v>36</v>
      </c>
      <c r="S68">
        <v>13</v>
      </c>
      <c r="X68" s="37" t="s">
        <v>139</v>
      </c>
      <c r="Y68">
        <v>99</v>
      </c>
    </row>
    <row r="69" spans="1:26" x14ac:dyDescent="0.25">
      <c r="A69" t="s">
        <v>29</v>
      </c>
      <c r="B69">
        <v>2</v>
      </c>
      <c r="C69" t="s">
        <v>34</v>
      </c>
      <c r="D69" t="s">
        <v>37</v>
      </c>
      <c r="E69" s="2">
        <v>0</v>
      </c>
      <c r="F69">
        <v>0</v>
      </c>
      <c r="G69">
        <v>0</v>
      </c>
      <c r="H69">
        <v>0</v>
      </c>
      <c r="I69" t="s">
        <v>32</v>
      </c>
      <c r="J69">
        <v>0</v>
      </c>
      <c r="M69" t="s">
        <v>35</v>
      </c>
      <c r="N69">
        <v>24</v>
      </c>
      <c r="R69" t="s">
        <v>36</v>
      </c>
      <c r="S69">
        <v>8</v>
      </c>
      <c r="X69" s="37" t="s">
        <v>140</v>
      </c>
      <c r="Y69">
        <v>83</v>
      </c>
    </row>
    <row r="70" spans="1:26" x14ac:dyDescent="0.25">
      <c r="A70" t="s">
        <v>29</v>
      </c>
      <c r="B70">
        <v>2</v>
      </c>
      <c r="C70" t="s">
        <v>34</v>
      </c>
      <c r="D70" t="s">
        <v>37</v>
      </c>
      <c r="E70" s="2">
        <v>0</v>
      </c>
      <c r="F70">
        <v>0</v>
      </c>
      <c r="G70">
        <v>0</v>
      </c>
      <c r="H70">
        <v>0</v>
      </c>
      <c r="I70" t="s">
        <v>32</v>
      </c>
      <c r="J70">
        <v>0</v>
      </c>
      <c r="M70" t="s">
        <v>35</v>
      </c>
      <c r="N70">
        <v>0</v>
      </c>
      <c r="R70" t="s">
        <v>36</v>
      </c>
      <c r="S70">
        <v>7</v>
      </c>
      <c r="X70" s="37" t="s">
        <v>141</v>
      </c>
      <c r="Y70">
        <v>89</v>
      </c>
    </row>
    <row r="71" spans="1:26" x14ac:dyDescent="0.25">
      <c r="A71" t="s">
        <v>29</v>
      </c>
      <c r="B71">
        <v>2</v>
      </c>
      <c r="C71" t="s">
        <v>34</v>
      </c>
      <c r="D71" t="s">
        <v>37</v>
      </c>
      <c r="E71" s="2">
        <v>0</v>
      </c>
      <c r="F71">
        <v>0</v>
      </c>
      <c r="G71">
        <v>0</v>
      </c>
      <c r="H71">
        <v>0</v>
      </c>
      <c r="I71" t="s">
        <v>32</v>
      </c>
      <c r="J71">
        <v>0</v>
      </c>
      <c r="M71" t="s">
        <v>35</v>
      </c>
      <c r="N71">
        <v>17</v>
      </c>
      <c r="R71" t="s">
        <v>36</v>
      </c>
      <c r="S71">
        <v>0</v>
      </c>
      <c r="X71" s="37" t="s">
        <v>142</v>
      </c>
      <c r="Y71">
        <v>182</v>
      </c>
    </row>
    <row r="72" spans="1:26" x14ac:dyDescent="0.25">
      <c r="A72" t="s">
        <v>29</v>
      </c>
      <c r="B72">
        <v>2</v>
      </c>
      <c r="C72" t="s">
        <v>34</v>
      </c>
      <c r="D72" t="s">
        <v>37</v>
      </c>
      <c r="E72" s="2">
        <v>0</v>
      </c>
      <c r="F72">
        <v>0</v>
      </c>
      <c r="G72">
        <v>0</v>
      </c>
      <c r="H72">
        <v>0</v>
      </c>
      <c r="I72" t="s">
        <v>32</v>
      </c>
      <c r="J72">
        <v>0</v>
      </c>
      <c r="M72" t="s">
        <v>35</v>
      </c>
      <c r="N72">
        <v>0</v>
      </c>
      <c r="R72" t="s">
        <v>36</v>
      </c>
      <c r="S72">
        <v>0</v>
      </c>
      <c r="X72" s="37" t="s">
        <v>143</v>
      </c>
      <c r="Y72">
        <v>106</v>
      </c>
    </row>
    <row r="73" spans="1:26" x14ac:dyDescent="0.25">
      <c r="A73" t="s">
        <v>29</v>
      </c>
      <c r="B73">
        <v>2</v>
      </c>
      <c r="C73" t="s">
        <v>34</v>
      </c>
      <c r="D73" t="s">
        <v>37</v>
      </c>
      <c r="E73" s="2">
        <v>0</v>
      </c>
      <c r="F73">
        <v>0</v>
      </c>
      <c r="G73">
        <v>0</v>
      </c>
      <c r="H73">
        <v>0</v>
      </c>
      <c r="I73" t="s">
        <v>32</v>
      </c>
      <c r="J73">
        <v>0</v>
      </c>
      <c r="M73" t="s">
        <v>35</v>
      </c>
      <c r="N73">
        <v>18</v>
      </c>
      <c r="R73" t="s">
        <v>36</v>
      </c>
      <c r="S73">
        <v>4</v>
      </c>
      <c r="X73" s="37" t="s">
        <v>148</v>
      </c>
      <c r="Y73">
        <v>0</v>
      </c>
    </row>
    <row r="74" spans="1:26" x14ac:dyDescent="0.25">
      <c r="A74" t="s">
        <v>29</v>
      </c>
      <c r="B74">
        <v>2</v>
      </c>
      <c r="C74" t="s">
        <v>34</v>
      </c>
      <c r="D74" t="s">
        <v>37</v>
      </c>
      <c r="E74" s="2">
        <v>0</v>
      </c>
      <c r="F74">
        <v>0</v>
      </c>
      <c r="G74">
        <v>0</v>
      </c>
      <c r="H74">
        <v>0</v>
      </c>
      <c r="I74" t="s">
        <v>32</v>
      </c>
      <c r="J74">
        <v>0</v>
      </c>
      <c r="M74" t="s">
        <v>35</v>
      </c>
      <c r="N74">
        <v>55</v>
      </c>
      <c r="R74" t="s">
        <v>36</v>
      </c>
      <c r="S74">
        <v>0</v>
      </c>
      <c r="X74" s="37" t="s">
        <v>149</v>
      </c>
      <c r="Y74">
        <v>184</v>
      </c>
    </row>
    <row r="75" spans="1:26" x14ac:dyDescent="0.25">
      <c r="A75" t="s">
        <v>29</v>
      </c>
      <c r="B75">
        <v>2</v>
      </c>
      <c r="C75" t="s">
        <v>34</v>
      </c>
      <c r="D75" t="s">
        <v>37</v>
      </c>
      <c r="E75" s="2">
        <v>0</v>
      </c>
      <c r="F75">
        <v>0</v>
      </c>
      <c r="G75">
        <v>0</v>
      </c>
      <c r="H75">
        <v>0</v>
      </c>
      <c r="I75" t="s">
        <v>32</v>
      </c>
      <c r="J75">
        <v>0</v>
      </c>
      <c r="M75" t="s">
        <v>35</v>
      </c>
      <c r="N75">
        <v>0</v>
      </c>
      <c r="R75" t="s">
        <v>36</v>
      </c>
      <c r="S75">
        <v>0</v>
      </c>
    </row>
    <row r="76" spans="1:26" x14ac:dyDescent="0.25">
      <c r="A76" t="s">
        <v>29</v>
      </c>
      <c r="B76">
        <v>2</v>
      </c>
      <c r="C76" t="s">
        <v>34</v>
      </c>
      <c r="D76" t="s">
        <v>37</v>
      </c>
      <c r="E76" s="2">
        <v>0</v>
      </c>
      <c r="F76">
        <v>0</v>
      </c>
      <c r="G76">
        <v>0</v>
      </c>
      <c r="H76">
        <v>0</v>
      </c>
      <c r="I76" t="s">
        <v>32</v>
      </c>
      <c r="J76">
        <v>0</v>
      </c>
      <c r="M76" t="s">
        <v>35</v>
      </c>
      <c r="N76">
        <v>0</v>
      </c>
      <c r="R76" t="s">
        <v>36</v>
      </c>
      <c r="S76">
        <v>0</v>
      </c>
    </row>
    <row r="77" spans="1:26" x14ac:dyDescent="0.25">
      <c r="A77" t="s">
        <v>29</v>
      </c>
      <c r="B77">
        <v>3</v>
      </c>
      <c r="C77" t="s">
        <v>30</v>
      </c>
      <c r="D77" t="s">
        <v>38</v>
      </c>
      <c r="E77" s="2">
        <v>0</v>
      </c>
      <c r="F77">
        <v>0</v>
      </c>
      <c r="G77">
        <v>0</v>
      </c>
      <c r="H77">
        <v>0</v>
      </c>
      <c r="I77" t="s">
        <v>32</v>
      </c>
      <c r="J77">
        <v>0</v>
      </c>
      <c r="M77" t="s">
        <v>35</v>
      </c>
      <c r="N77">
        <v>0</v>
      </c>
      <c r="R77" t="s">
        <v>36</v>
      </c>
      <c r="S77">
        <v>0</v>
      </c>
      <c r="W77" t="s">
        <v>164</v>
      </c>
      <c r="X77" s="37" t="s">
        <v>162</v>
      </c>
      <c r="Y77" t="s">
        <v>163</v>
      </c>
    </row>
    <row r="78" spans="1:26" x14ac:dyDescent="0.25">
      <c r="A78" t="s">
        <v>29</v>
      </c>
      <c r="B78">
        <v>3</v>
      </c>
      <c r="C78" t="s">
        <v>30</v>
      </c>
      <c r="D78" t="s">
        <v>38</v>
      </c>
      <c r="E78" s="2">
        <v>0</v>
      </c>
      <c r="F78">
        <v>0</v>
      </c>
      <c r="G78">
        <v>0</v>
      </c>
      <c r="H78">
        <v>0</v>
      </c>
      <c r="I78" t="s">
        <v>32</v>
      </c>
      <c r="J78">
        <v>0</v>
      </c>
      <c r="M78" t="s">
        <v>35</v>
      </c>
      <c r="N78">
        <v>0</v>
      </c>
      <c r="R78" t="s">
        <v>36</v>
      </c>
      <c r="S78">
        <v>0</v>
      </c>
      <c r="W78">
        <v>0</v>
      </c>
      <c r="X78">
        <v>0</v>
      </c>
      <c r="Y78">
        <v>564</v>
      </c>
      <c r="Z78">
        <v>79</v>
      </c>
    </row>
    <row r="79" spans="1:26" x14ac:dyDescent="0.25">
      <c r="A79" t="s">
        <v>29</v>
      </c>
      <c r="B79">
        <v>3</v>
      </c>
      <c r="C79" t="s">
        <v>30</v>
      </c>
      <c r="D79" t="s">
        <v>38</v>
      </c>
      <c r="E79" s="2">
        <v>0</v>
      </c>
      <c r="F79">
        <v>0</v>
      </c>
      <c r="G79">
        <v>0</v>
      </c>
      <c r="H79">
        <v>0</v>
      </c>
      <c r="I79" t="s">
        <v>32</v>
      </c>
      <c r="J79">
        <v>0</v>
      </c>
      <c r="M79" t="s">
        <v>35</v>
      </c>
      <c r="N79">
        <v>0</v>
      </c>
      <c r="R79" t="s">
        <v>36</v>
      </c>
      <c r="S79">
        <v>11</v>
      </c>
      <c r="W79" s="37" t="s">
        <v>148</v>
      </c>
      <c r="X79">
        <v>0</v>
      </c>
      <c r="Y79">
        <v>316</v>
      </c>
      <c r="Z79">
        <v>40</v>
      </c>
    </row>
    <row r="80" spans="1:26" x14ac:dyDescent="0.25">
      <c r="A80" t="s">
        <v>29</v>
      </c>
      <c r="B80">
        <v>3</v>
      </c>
      <c r="C80" t="s">
        <v>30</v>
      </c>
      <c r="D80" t="s">
        <v>38</v>
      </c>
      <c r="E80" s="2">
        <v>0</v>
      </c>
      <c r="F80">
        <v>0</v>
      </c>
      <c r="G80">
        <v>0</v>
      </c>
      <c r="H80">
        <v>0</v>
      </c>
      <c r="I80" t="s">
        <v>32</v>
      </c>
      <c r="J80">
        <v>0</v>
      </c>
      <c r="M80" t="s">
        <v>35</v>
      </c>
      <c r="N80">
        <v>0</v>
      </c>
      <c r="R80" t="s">
        <v>36</v>
      </c>
      <c r="S80">
        <v>12</v>
      </c>
      <c r="W80" s="37" t="s">
        <v>149</v>
      </c>
      <c r="X80">
        <v>184</v>
      </c>
      <c r="Y80">
        <v>49</v>
      </c>
      <c r="Z80">
        <v>25</v>
      </c>
    </row>
    <row r="81" spans="1:26" x14ac:dyDescent="0.25">
      <c r="A81" t="s">
        <v>29</v>
      </c>
      <c r="B81">
        <v>3</v>
      </c>
      <c r="C81" t="s">
        <v>30</v>
      </c>
      <c r="D81" t="s">
        <v>38</v>
      </c>
      <c r="E81" s="2">
        <v>0</v>
      </c>
      <c r="F81">
        <v>0</v>
      </c>
      <c r="G81">
        <v>0</v>
      </c>
      <c r="H81">
        <v>0</v>
      </c>
      <c r="I81" t="s">
        <v>32</v>
      </c>
      <c r="J81">
        <v>0</v>
      </c>
      <c r="M81" t="s">
        <v>35</v>
      </c>
      <c r="N81">
        <v>36</v>
      </c>
      <c r="R81" t="s">
        <v>36</v>
      </c>
      <c r="S81">
        <v>14</v>
      </c>
      <c r="W81" s="37" t="s">
        <v>139</v>
      </c>
      <c r="X81">
        <v>99</v>
      </c>
      <c r="Y81">
        <v>25</v>
      </c>
      <c r="Z81">
        <v>18</v>
      </c>
    </row>
    <row r="82" spans="1:26" x14ac:dyDescent="0.25">
      <c r="A82" t="s">
        <v>29</v>
      </c>
      <c r="B82">
        <v>3</v>
      </c>
      <c r="C82" t="s">
        <v>30</v>
      </c>
      <c r="D82" t="s">
        <v>38</v>
      </c>
      <c r="E82" s="2">
        <v>0</v>
      </c>
      <c r="F82">
        <v>0</v>
      </c>
      <c r="G82">
        <v>0</v>
      </c>
      <c r="H82">
        <v>0</v>
      </c>
      <c r="I82" t="s">
        <v>32</v>
      </c>
      <c r="J82">
        <v>0</v>
      </c>
      <c r="M82" t="s">
        <v>35</v>
      </c>
      <c r="N82">
        <v>26</v>
      </c>
      <c r="R82" t="s">
        <v>36</v>
      </c>
      <c r="S82">
        <v>0</v>
      </c>
      <c r="W82" s="37" t="s">
        <v>140</v>
      </c>
      <c r="X82">
        <v>83</v>
      </c>
      <c r="Y82">
        <v>18</v>
      </c>
      <c r="Z82">
        <v>17</v>
      </c>
    </row>
    <row r="83" spans="1:26" x14ac:dyDescent="0.25">
      <c r="A83" t="s">
        <v>29</v>
      </c>
      <c r="B83">
        <v>3</v>
      </c>
      <c r="C83" t="s">
        <v>30</v>
      </c>
      <c r="D83" t="s">
        <v>38</v>
      </c>
      <c r="E83" s="2">
        <v>0</v>
      </c>
      <c r="F83">
        <v>0</v>
      </c>
      <c r="G83">
        <v>0</v>
      </c>
      <c r="H83">
        <v>0</v>
      </c>
      <c r="I83" t="s">
        <v>32</v>
      </c>
      <c r="J83">
        <v>0</v>
      </c>
      <c r="M83" t="s">
        <v>35</v>
      </c>
      <c r="N83">
        <v>45</v>
      </c>
      <c r="R83" t="s">
        <v>36</v>
      </c>
      <c r="S83">
        <v>37</v>
      </c>
      <c r="W83" s="37" t="s">
        <v>141</v>
      </c>
      <c r="X83">
        <v>89</v>
      </c>
      <c r="Y83">
        <v>17</v>
      </c>
      <c r="Z83">
        <v>34</v>
      </c>
    </row>
    <row r="84" spans="1:26" x14ac:dyDescent="0.25">
      <c r="A84" t="s">
        <v>29</v>
      </c>
      <c r="B84">
        <v>3</v>
      </c>
      <c r="C84" t="s">
        <v>30</v>
      </c>
      <c r="D84" t="s">
        <v>38</v>
      </c>
      <c r="E84" s="2">
        <v>0</v>
      </c>
      <c r="F84">
        <v>0</v>
      </c>
      <c r="G84">
        <v>0</v>
      </c>
      <c r="H84">
        <v>0</v>
      </c>
      <c r="I84" t="s">
        <v>32</v>
      </c>
      <c r="J84">
        <v>0</v>
      </c>
      <c r="M84" t="s">
        <v>35</v>
      </c>
      <c r="N84">
        <v>69</v>
      </c>
      <c r="R84" t="s">
        <v>36</v>
      </c>
      <c r="S84">
        <v>0</v>
      </c>
      <c r="W84" s="37" t="s">
        <v>142</v>
      </c>
      <c r="X84">
        <v>182</v>
      </c>
      <c r="Y84">
        <v>34</v>
      </c>
      <c r="Z84">
        <v>16</v>
      </c>
    </row>
    <row r="85" spans="1:26" x14ac:dyDescent="0.25">
      <c r="A85" t="s">
        <v>29</v>
      </c>
      <c r="B85">
        <v>3</v>
      </c>
      <c r="C85" t="s">
        <v>30</v>
      </c>
      <c r="D85" t="s">
        <v>38</v>
      </c>
      <c r="E85" s="2">
        <v>0</v>
      </c>
      <c r="F85">
        <v>0</v>
      </c>
      <c r="G85">
        <v>0</v>
      </c>
      <c r="H85">
        <v>0</v>
      </c>
      <c r="I85" t="s">
        <v>32</v>
      </c>
      <c r="J85">
        <v>0</v>
      </c>
      <c r="M85" t="s">
        <v>35</v>
      </c>
      <c r="N85">
        <v>0</v>
      </c>
      <c r="R85" t="s">
        <v>36</v>
      </c>
      <c r="S85">
        <v>37</v>
      </c>
      <c r="W85" s="37" t="s">
        <v>143</v>
      </c>
      <c r="X85">
        <v>106</v>
      </c>
      <c r="Y85">
        <v>16</v>
      </c>
      <c r="Z85">
        <v>310</v>
      </c>
    </row>
    <row r="86" spans="1:26" x14ac:dyDescent="0.25">
      <c r="A86" t="s">
        <v>29</v>
      </c>
      <c r="B86">
        <v>3</v>
      </c>
      <c r="C86" t="s">
        <v>30</v>
      </c>
      <c r="D86" t="s">
        <v>38</v>
      </c>
      <c r="E86" s="2">
        <v>0</v>
      </c>
      <c r="F86">
        <v>0</v>
      </c>
      <c r="G86">
        <v>0</v>
      </c>
      <c r="H86">
        <v>0</v>
      </c>
      <c r="I86" t="s">
        <v>32</v>
      </c>
      <c r="J86">
        <v>0</v>
      </c>
      <c r="M86" t="s">
        <v>35</v>
      </c>
      <c r="N86">
        <v>0</v>
      </c>
      <c r="R86" t="s">
        <v>36</v>
      </c>
      <c r="S86">
        <v>22</v>
      </c>
      <c r="W86" s="37" t="s">
        <v>144</v>
      </c>
      <c r="X86">
        <v>48</v>
      </c>
      <c r="Y86">
        <v>79</v>
      </c>
      <c r="Z86">
        <v>49</v>
      </c>
    </row>
    <row r="87" spans="1:26" x14ac:dyDescent="0.25">
      <c r="A87" t="s">
        <v>29</v>
      </c>
      <c r="B87">
        <v>3</v>
      </c>
      <c r="C87" t="s">
        <v>30</v>
      </c>
      <c r="D87" t="s">
        <v>38</v>
      </c>
      <c r="E87" s="2">
        <v>0</v>
      </c>
      <c r="F87">
        <v>0</v>
      </c>
      <c r="G87">
        <v>0</v>
      </c>
      <c r="H87">
        <v>0</v>
      </c>
      <c r="I87" t="s">
        <v>32</v>
      </c>
      <c r="J87">
        <v>0</v>
      </c>
      <c r="M87" t="s">
        <v>35</v>
      </c>
      <c r="N87">
        <v>10</v>
      </c>
      <c r="R87" t="s">
        <v>36</v>
      </c>
      <c r="S87">
        <v>47</v>
      </c>
      <c r="W87" s="37" t="s">
        <v>103</v>
      </c>
      <c r="X87">
        <v>1</v>
      </c>
      <c r="Y87">
        <v>40</v>
      </c>
    </row>
    <row r="88" spans="1:26" x14ac:dyDescent="0.25">
      <c r="A88" t="s">
        <v>29</v>
      </c>
      <c r="B88">
        <v>3</v>
      </c>
      <c r="C88" t="s">
        <v>30</v>
      </c>
      <c r="D88" t="s">
        <v>38</v>
      </c>
      <c r="E88" s="2">
        <v>0</v>
      </c>
      <c r="F88">
        <v>0</v>
      </c>
      <c r="G88">
        <v>0</v>
      </c>
      <c r="H88">
        <v>0</v>
      </c>
      <c r="I88" t="s">
        <v>32</v>
      </c>
      <c r="J88">
        <v>0</v>
      </c>
      <c r="M88" t="s">
        <v>35</v>
      </c>
      <c r="N88">
        <v>0</v>
      </c>
      <c r="R88" t="s">
        <v>36</v>
      </c>
      <c r="S88">
        <v>47</v>
      </c>
    </row>
    <row r="89" spans="1:26" x14ac:dyDescent="0.25">
      <c r="A89" t="s">
        <v>29</v>
      </c>
      <c r="B89">
        <v>3</v>
      </c>
      <c r="C89" t="s">
        <v>30</v>
      </c>
      <c r="D89" t="s">
        <v>38</v>
      </c>
      <c r="E89" s="2">
        <v>0</v>
      </c>
      <c r="F89">
        <v>0</v>
      </c>
      <c r="G89">
        <v>0</v>
      </c>
      <c r="H89">
        <v>0</v>
      </c>
      <c r="I89" t="s">
        <v>32</v>
      </c>
      <c r="J89">
        <v>0</v>
      </c>
      <c r="M89" t="s">
        <v>35</v>
      </c>
      <c r="N89">
        <v>18</v>
      </c>
      <c r="R89" t="s">
        <v>36</v>
      </c>
      <c r="S89">
        <v>47</v>
      </c>
    </row>
    <row r="90" spans="1:26" x14ac:dyDescent="0.25">
      <c r="A90" t="s">
        <v>29</v>
      </c>
      <c r="B90">
        <v>3</v>
      </c>
      <c r="C90" t="s">
        <v>30</v>
      </c>
      <c r="D90" t="s">
        <v>38</v>
      </c>
      <c r="E90" s="2">
        <v>0</v>
      </c>
      <c r="F90">
        <v>0</v>
      </c>
      <c r="G90">
        <v>0</v>
      </c>
      <c r="H90">
        <v>0</v>
      </c>
      <c r="I90" t="s">
        <v>32</v>
      </c>
      <c r="J90">
        <v>0</v>
      </c>
      <c r="M90" t="s">
        <v>35</v>
      </c>
      <c r="N90">
        <v>23</v>
      </c>
      <c r="R90" t="s">
        <v>36</v>
      </c>
      <c r="S90">
        <v>13</v>
      </c>
    </row>
    <row r="91" spans="1:26" x14ac:dyDescent="0.25">
      <c r="A91" t="s">
        <v>29</v>
      </c>
      <c r="B91">
        <v>3</v>
      </c>
      <c r="C91" t="s">
        <v>30</v>
      </c>
      <c r="D91" t="s">
        <v>38</v>
      </c>
      <c r="E91" s="2">
        <v>0</v>
      </c>
      <c r="F91">
        <v>0</v>
      </c>
      <c r="G91">
        <v>0</v>
      </c>
      <c r="H91">
        <v>0</v>
      </c>
      <c r="I91" t="s">
        <v>32</v>
      </c>
      <c r="J91">
        <v>0</v>
      </c>
      <c r="M91" t="s">
        <v>35</v>
      </c>
      <c r="N91">
        <v>0</v>
      </c>
      <c r="R91" t="s">
        <v>36</v>
      </c>
      <c r="S91">
        <v>0</v>
      </c>
    </row>
    <row r="92" spans="1:26" x14ac:dyDescent="0.25">
      <c r="A92" t="s">
        <v>29</v>
      </c>
      <c r="B92">
        <v>3</v>
      </c>
      <c r="C92" t="s">
        <v>30</v>
      </c>
      <c r="D92" t="s">
        <v>38</v>
      </c>
      <c r="E92" s="2">
        <v>0</v>
      </c>
      <c r="F92">
        <v>0</v>
      </c>
      <c r="G92">
        <v>0</v>
      </c>
      <c r="H92">
        <v>0</v>
      </c>
      <c r="I92" t="s">
        <v>32</v>
      </c>
      <c r="J92">
        <v>0</v>
      </c>
      <c r="M92" t="s">
        <v>35</v>
      </c>
      <c r="N92">
        <v>0</v>
      </c>
      <c r="R92" t="s">
        <v>36</v>
      </c>
      <c r="S92">
        <v>0</v>
      </c>
    </row>
    <row r="93" spans="1:26" x14ac:dyDescent="0.25">
      <c r="A93" t="s">
        <v>29</v>
      </c>
      <c r="B93">
        <v>3</v>
      </c>
      <c r="C93" t="s">
        <v>30</v>
      </c>
      <c r="D93" t="s">
        <v>38</v>
      </c>
      <c r="E93" s="2">
        <v>0</v>
      </c>
      <c r="F93">
        <v>0</v>
      </c>
      <c r="G93">
        <v>0</v>
      </c>
      <c r="H93">
        <v>0</v>
      </c>
      <c r="I93" t="s">
        <v>32</v>
      </c>
      <c r="J93">
        <v>0</v>
      </c>
      <c r="M93" t="s">
        <v>35</v>
      </c>
      <c r="N93">
        <v>16</v>
      </c>
      <c r="R93" t="s">
        <v>36</v>
      </c>
      <c r="S93">
        <v>35</v>
      </c>
    </row>
    <row r="94" spans="1:26" x14ac:dyDescent="0.25">
      <c r="A94" t="s">
        <v>29</v>
      </c>
      <c r="B94">
        <v>3</v>
      </c>
      <c r="C94" t="s">
        <v>30</v>
      </c>
      <c r="D94" t="s">
        <v>38</v>
      </c>
      <c r="E94" s="2">
        <v>0</v>
      </c>
      <c r="F94">
        <v>0</v>
      </c>
      <c r="G94">
        <v>0</v>
      </c>
      <c r="H94">
        <v>0</v>
      </c>
      <c r="I94" t="s">
        <v>32</v>
      </c>
      <c r="J94">
        <v>0</v>
      </c>
      <c r="M94" t="s">
        <v>35</v>
      </c>
      <c r="N94">
        <v>77</v>
      </c>
      <c r="R94" t="s">
        <v>36</v>
      </c>
      <c r="S94">
        <v>0</v>
      </c>
    </row>
    <row r="95" spans="1:26" x14ac:dyDescent="0.25">
      <c r="A95" t="s">
        <v>29</v>
      </c>
      <c r="B95">
        <v>3</v>
      </c>
      <c r="C95" t="s">
        <v>30</v>
      </c>
      <c r="D95" t="s">
        <v>38</v>
      </c>
      <c r="E95" s="2">
        <v>0</v>
      </c>
      <c r="F95">
        <v>0</v>
      </c>
      <c r="G95">
        <v>0</v>
      </c>
      <c r="H95">
        <v>0</v>
      </c>
      <c r="I95" t="s">
        <v>32</v>
      </c>
      <c r="J95">
        <v>0</v>
      </c>
      <c r="M95" t="s">
        <v>35</v>
      </c>
      <c r="N95">
        <v>37</v>
      </c>
      <c r="R95" t="s">
        <v>36</v>
      </c>
      <c r="S95">
        <v>41</v>
      </c>
    </row>
    <row r="96" spans="1:26" x14ac:dyDescent="0.25">
      <c r="A96" t="s">
        <v>29</v>
      </c>
      <c r="B96">
        <v>3</v>
      </c>
      <c r="C96" t="s">
        <v>34</v>
      </c>
      <c r="D96" t="s">
        <v>39</v>
      </c>
      <c r="E96" s="2">
        <v>0</v>
      </c>
      <c r="F96">
        <v>0</v>
      </c>
      <c r="G96">
        <v>0</v>
      </c>
      <c r="H96">
        <v>0</v>
      </c>
      <c r="I96" t="s">
        <v>32</v>
      </c>
      <c r="J96">
        <v>0</v>
      </c>
      <c r="M96" t="s">
        <v>35</v>
      </c>
      <c r="N96">
        <v>42</v>
      </c>
      <c r="R96" t="s">
        <v>36</v>
      </c>
      <c r="S96">
        <v>37</v>
      </c>
    </row>
    <row r="97" spans="1:19" x14ac:dyDescent="0.25">
      <c r="A97" t="s">
        <v>29</v>
      </c>
      <c r="B97">
        <v>3</v>
      </c>
      <c r="C97" t="s">
        <v>34</v>
      </c>
      <c r="D97" t="s">
        <v>39</v>
      </c>
      <c r="E97" s="2">
        <v>0</v>
      </c>
      <c r="F97">
        <v>0</v>
      </c>
      <c r="G97">
        <v>0</v>
      </c>
      <c r="H97">
        <v>0</v>
      </c>
      <c r="I97" t="s">
        <v>32</v>
      </c>
      <c r="J97">
        <v>0</v>
      </c>
      <c r="M97" t="s">
        <v>35</v>
      </c>
      <c r="N97">
        <v>34</v>
      </c>
      <c r="R97" t="s">
        <v>36</v>
      </c>
      <c r="S97">
        <v>0</v>
      </c>
    </row>
    <row r="98" spans="1:19" x14ac:dyDescent="0.25">
      <c r="A98" t="s">
        <v>29</v>
      </c>
      <c r="B98">
        <v>3</v>
      </c>
      <c r="C98" t="s">
        <v>34</v>
      </c>
      <c r="D98" t="s">
        <v>39</v>
      </c>
      <c r="E98" s="2">
        <v>0</v>
      </c>
      <c r="F98">
        <v>0</v>
      </c>
      <c r="G98">
        <v>0</v>
      </c>
      <c r="H98">
        <v>0</v>
      </c>
      <c r="I98" t="s">
        <v>32</v>
      </c>
      <c r="J98">
        <v>0</v>
      </c>
      <c r="M98" t="s">
        <v>35</v>
      </c>
      <c r="N98">
        <v>51</v>
      </c>
      <c r="R98" t="s">
        <v>36</v>
      </c>
      <c r="S98">
        <v>7</v>
      </c>
    </row>
    <row r="99" spans="1:19" x14ac:dyDescent="0.25">
      <c r="A99" t="s">
        <v>29</v>
      </c>
      <c r="B99">
        <v>3</v>
      </c>
      <c r="C99" t="s">
        <v>34</v>
      </c>
      <c r="D99" t="s">
        <v>39</v>
      </c>
      <c r="E99" s="2">
        <v>0</v>
      </c>
      <c r="F99">
        <v>0</v>
      </c>
      <c r="G99">
        <v>0</v>
      </c>
      <c r="H99">
        <v>0</v>
      </c>
      <c r="I99" t="s">
        <v>32</v>
      </c>
      <c r="J99">
        <v>0</v>
      </c>
      <c r="M99" t="s">
        <v>35</v>
      </c>
      <c r="N99">
        <v>3</v>
      </c>
      <c r="R99" t="s">
        <v>36</v>
      </c>
      <c r="S99">
        <v>54</v>
      </c>
    </row>
    <row r="100" spans="1:19" x14ac:dyDescent="0.25">
      <c r="A100" t="s">
        <v>29</v>
      </c>
      <c r="B100">
        <v>3</v>
      </c>
      <c r="C100" t="s">
        <v>34</v>
      </c>
      <c r="D100" t="s">
        <v>39</v>
      </c>
      <c r="E100" s="2">
        <v>0</v>
      </c>
      <c r="F100">
        <v>0</v>
      </c>
      <c r="G100">
        <v>0</v>
      </c>
      <c r="H100">
        <v>0</v>
      </c>
      <c r="I100" t="s">
        <v>32</v>
      </c>
      <c r="J100">
        <v>0</v>
      </c>
      <c r="M100" t="s">
        <v>35</v>
      </c>
      <c r="N100">
        <v>9</v>
      </c>
      <c r="R100" t="s">
        <v>36</v>
      </c>
      <c r="S100">
        <v>7</v>
      </c>
    </row>
    <row r="101" spans="1:19" x14ac:dyDescent="0.25">
      <c r="A101" t="s">
        <v>29</v>
      </c>
      <c r="B101">
        <v>3</v>
      </c>
      <c r="C101" t="s">
        <v>34</v>
      </c>
      <c r="D101" t="s">
        <v>39</v>
      </c>
      <c r="E101" s="2">
        <v>0</v>
      </c>
      <c r="F101">
        <v>0</v>
      </c>
      <c r="G101">
        <v>0</v>
      </c>
      <c r="H101">
        <v>0</v>
      </c>
      <c r="I101" t="s">
        <v>32</v>
      </c>
      <c r="J101">
        <v>0</v>
      </c>
      <c r="M101" t="s">
        <v>35</v>
      </c>
      <c r="N101">
        <v>53</v>
      </c>
      <c r="R101" t="s">
        <v>36</v>
      </c>
      <c r="S101">
        <v>0</v>
      </c>
    </row>
    <row r="102" spans="1:19" x14ac:dyDescent="0.25">
      <c r="A102" t="s">
        <v>29</v>
      </c>
      <c r="B102">
        <v>3</v>
      </c>
      <c r="C102" t="s">
        <v>34</v>
      </c>
      <c r="D102" t="s">
        <v>39</v>
      </c>
      <c r="E102" s="2">
        <v>0</v>
      </c>
      <c r="F102">
        <v>0</v>
      </c>
      <c r="G102">
        <v>0</v>
      </c>
      <c r="H102">
        <v>0</v>
      </c>
      <c r="I102" t="s">
        <v>32</v>
      </c>
      <c r="J102">
        <v>0</v>
      </c>
      <c r="M102" t="s">
        <v>35</v>
      </c>
      <c r="N102">
        <v>71</v>
      </c>
      <c r="R102" t="s">
        <v>36</v>
      </c>
      <c r="S102">
        <v>45</v>
      </c>
    </row>
    <row r="103" spans="1:19" x14ac:dyDescent="0.25">
      <c r="A103" t="s">
        <v>29</v>
      </c>
      <c r="B103">
        <v>3</v>
      </c>
      <c r="C103" t="s">
        <v>34</v>
      </c>
      <c r="D103" t="s">
        <v>39</v>
      </c>
      <c r="E103" s="2">
        <v>0</v>
      </c>
      <c r="F103">
        <v>0</v>
      </c>
      <c r="G103">
        <v>0</v>
      </c>
      <c r="H103">
        <v>0</v>
      </c>
      <c r="I103" t="s">
        <v>32</v>
      </c>
      <c r="J103">
        <v>0</v>
      </c>
      <c r="M103" t="s">
        <v>35</v>
      </c>
      <c r="N103">
        <v>0</v>
      </c>
      <c r="R103" t="s">
        <v>36</v>
      </c>
      <c r="S103">
        <v>0</v>
      </c>
    </row>
    <row r="104" spans="1:19" x14ac:dyDescent="0.25">
      <c r="A104" t="s">
        <v>29</v>
      </c>
      <c r="B104">
        <v>3</v>
      </c>
      <c r="C104" t="s">
        <v>34</v>
      </c>
      <c r="D104" t="s">
        <v>39</v>
      </c>
      <c r="E104" s="2">
        <v>0</v>
      </c>
      <c r="F104">
        <v>0</v>
      </c>
      <c r="G104">
        <v>0</v>
      </c>
      <c r="H104">
        <v>0</v>
      </c>
      <c r="I104" t="s">
        <v>32</v>
      </c>
      <c r="J104">
        <v>0</v>
      </c>
      <c r="M104" t="s">
        <v>35</v>
      </c>
      <c r="N104">
        <v>23</v>
      </c>
      <c r="R104" t="s">
        <v>36</v>
      </c>
      <c r="S104">
        <v>16</v>
      </c>
    </row>
    <row r="105" spans="1:19" x14ac:dyDescent="0.25">
      <c r="A105" t="s">
        <v>29</v>
      </c>
      <c r="B105">
        <v>3</v>
      </c>
      <c r="C105" t="s">
        <v>34</v>
      </c>
      <c r="D105" t="s">
        <v>39</v>
      </c>
      <c r="E105" s="2">
        <v>0</v>
      </c>
      <c r="F105">
        <v>0</v>
      </c>
      <c r="G105">
        <v>0</v>
      </c>
      <c r="H105">
        <v>0</v>
      </c>
      <c r="I105" t="s">
        <v>32</v>
      </c>
      <c r="J105">
        <v>0</v>
      </c>
      <c r="M105" t="s">
        <v>35</v>
      </c>
      <c r="N105">
        <v>6</v>
      </c>
      <c r="R105" t="s">
        <v>36</v>
      </c>
      <c r="S105">
        <v>12</v>
      </c>
    </row>
    <row r="106" spans="1:19" x14ac:dyDescent="0.25">
      <c r="A106" t="s">
        <v>29</v>
      </c>
      <c r="B106">
        <v>3</v>
      </c>
      <c r="C106" t="s">
        <v>34</v>
      </c>
      <c r="D106" t="s">
        <v>39</v>
      </c>
      <c r="E106" s="2">
        <v>0</v>
      </c>
      <c r="F106">
        <v>0</v>
      </c>
      <c r="G106">
        <v>0</v>
      </c>
      <c r="H106">
        <v>0</v>
      </c>
      <c r="I106" t="s">
        <v>32</v>
      </c>
      <c r="J106">
        <v>0</v>
      </c>
      <c r="M106" t="s">
        <v>35</v>
      </c>
      <c r="N106">
        <v>104</v>
      </c>
      <c r="R106" t="s">
        <v>36</v>
      </c>
      <c r="S106">
        <v>8</v>
      </c>
    </row>
    <row r="107" spans="1:19" x14ac:dyDescent="0.25">
      <c r="A107" t="s">
        <v>29</v>
      </c>
      <c r="B107">
        <v>3</v>
      </c>
      <c r="C107" t="s">
        <v>34</v>
      </c>
      <c r="D107" t="s">
        <v>39</v>
      </c>
      <c r="E107" s="2">
        <v>0</v>
      </c>
      <c r="F107">
        <v>0</v>
      </c>
      <c r="G107">
        <v>0</v>
      </c>
      <c r="H107">
        <v>0</v>
      </c>
      <c r="I107" t="s">
        <v>32</v>
      </c>
      <c r="J107">
        <v>0</v>
      </c>
      <c r="M107" t="s">
        <v>35</v>
      </c>
      <c r="N107">
        <v>113</v>
      </c>
      <c r="R107" t="s">
        <v>36</v>
      </c>
      <c r="S107">
        <v>69</v>
      </c>
    </row>
    <row r="108" spans="1:19" x14ac:dyDescent="0.25">
      <c r="A108" t="s">
        <v>29</v>
      </c>
      <c r="B108">
        <v>3</v>
      </c>
      <c r="C108" t="s">
        <v>34</v>
      </c>
      <c r="D108" t="s">
        <v>39</v>
      </c>
      <c r="E108" s="2">
        <v>0</v>
      </c>
      <c r="F108">
        <v>0</v>
      </c>
      <c r="G108">
        <v>0</v>
      </c>
      <c r="H108">
        <v>0</v>
      </c>
      <c r="I108" t="s">
        <v>32</v>
      </c>
      <c r="J108">
        <v>0</v>
      </c>
      <c r="M108" t="s">
        <v>35</v>
      </c>
      <c r="N108">
        <v>0</v>
      </c>
      <c r="R108" t="s">
        <v>36</v>
      </c>
      <c r="S108">
        <v>4</v>
      </c>
    </row>
    <row r="109" spans="1:19" x14ac:dyDescent="0.25">
      <c r="A109" t="s">
        <v>29</v>
      </c>
      <c r="B109">
        <v>3</v>
      </c>
      <c r="C109" t="s">
        <v>34</v>
      </c>
      <c r="D109" t="s">
        <v>39</v>
      </c>
      <c r="E109" s="2">
        <v>0</v>
      </c>
      <c r="F109">
        <v>0</v>
      </c>
      <c r="G109">
        <v>0</v>
      </c>
      <c r="H109">
        <v>0</v>
      </c>
      <c r="I109" t="s">
        <v>32</v>
      </c>
      <c r="J109">
        <v>0</v>
      </c>
      <c r="M109" t="s">
        <v>35</v>
      </c>
      <c r="N109">
        <v>76</v>
      </c>
      <c r="R109" t="s">
        <v>36</v>
      </c>
      <c r="S109">
        <v>6</v>
      </c>
    </row>
    <row r="110" spans="1:19" x14ac:dyDescent="0.25">
      <c r="A110" t="s">
        <v>29</v>
      </c>
      <c r="B110">
        <v>3</v>
      </c>
      <c r="C110" t="s">
        <v>34</v>
      </c>
      <c r="D110" t="s">
        <v>39</v>
      </c>
      <c r="E110" s="2">
        <v>0</v>
      </c>
      <c r="F110">
        <v>0</v>
      </c>
      <c r="G110">
        <v>0</v>
      </c>
      <c r="H110">
        <v>0</v>
      </c>
      <c r="I110" t="s">
        <v>32</v>
      </c>
      <c r="J110">
        <v>0</v>
      </c>
      <c r="M110" t="s">
        <v>35</v>
      </c>
      <c r="N110">
        <v>4</v>
      </c>
      <c r="R110" t="s">
        <v>36</v>
      </c>
      <c r="S110">
        <v>24</v>
      </c>
    </row>
    <row r="111" spans="1:19" x14ac:dyDescent="0.25">
      <c r="A111" t="s">
        <v>29</v>
      </c>
      <c r="B111">
        <v>3</v>
      </c>
      <c r="C111" t="s">
        <v>34</v>
      </c>
      <c r="D111" t="s">
        <v>39</v>
      </c>
      <c r="E111" s="2">
        <v>0</v>
      </c>
      <c r="F111">
        <v>0</v>
      </c>
      <c r="G111">
        <v>0</v>
      </c>
      <c r="H111">
        <v>0</v>
      </c>
      <c r="I111" t="s">
        <v>32</v>
      </c>
      <c r="J111">
        <v>0</v>
      </c>
      <c r="M111" t="s">
        <v>35</v>
      </c>
      <c r="N111">
        <v>6</v>
      </c>
      <c r="R111" t="s">
        <v>36</v>
      </c>
      <c r="S111">
        <v>28</v>
      </c>
    </row>
    <row r="112" spans="1:19" x14ac:dyDescent="0.25">
      <c r="A112" t="s">
        <v>29</v>
      </c>
      <c r="B112">
        <v>3</v>
      </c>
      <c r="C112" t="s">
        <v>34</v>
      </c>
      <c r="D112" t="s">
        <v>39</v>
      </c>
      <c r="E112" s="2">
        <v>0</v>
      </c>
      <c r="F112">
        <v>0</v>
      </c>
      <c r="G112">
        <v>0</v>
      </c>
      <c r="H112">
        <v>0</v>
      </c>
      <c r="I112" t="s">
        <v>32</v>
      </c>
      <c r="J112">
        <v>0</v>
      </c>
      <c r="M112" t="s">
        <v>35</v>
      </c>
      <c r="N112">
        <v>0</v>
      </c>
      <c r="R112" t="s">
        <v>36</v>
      </c>
      <c r="S112">
        <v>42</v>
      </c>
    </row>
    <row r="113" spans="1:19" x14ac:dyDescent="0.25">
      <c r="A113" t="s">
        <v>29</v>
      </c>
      <c r="B113">
        <v>3</v>
      </c>
      <c r="C113" t="s">
        <v>34</v>
      </c>
      <c r="D113" t="s">
        <v>39</v>
      </c>
      <c r="E113" s="2">
        <v>0</v>
      </c>
      <c r="F113">
        <v>0</v>
      </c>
      <c r="G113">
        <v>0</v>
      </c>
      <c r="H113">
        <v>0</v>
      </c>
      <c r="I113" t="s">
        <v>32</v>
      </c>
      <c r="J113">
        <v>0</v>
      </c>
      <c r="M113" t="s">
        <v>35</v>
      </c>
      <c r="N113">
        <v>38</v>
      </c>
      <c r="R113" t="s">
        <v>36</v>
      </c>
      <c r="S113">
        <v>4</v>
      </c>
    </row>
    <row r="114" spans="1:19" x14ac:dyDescent="0.25">
      <c r="A114" t="s">
        <v>29</v>
      </c>
      <c r="B114">
        <v>3</v>
      </c>
      <c r="C114" t="s">
        <v>34</v>
      </c>
      <c r="D114" t="s">
        <v>39</v>
      </c>
      <c r="E114" s="2">
        <v>0</v>
      </c>
      <c r="F114">
        <v>0</v>
      </c>
      <c r="G114">
        <v>0</v>
      </c>
      <c r="H114">
        <v>0</v>
      </c>
      <c r="I114" t="s">
        <v>32</v>
      </c>
      <c r="J114">
        <v>0</v>
      </c>
      <c r="M114" t="s">
        <v>35</v>
      </c>
      <c r="N114">
        <v>4</v>
      </c>
      <c r="R114" t="s">
        <v>36</v>
      </c>
      <c r="S114">
        <v>52</v>
      </c>
    </row>
    <row r="115" spans="1:19" x14ac:dyDescent="0.25">
      <c r="A115" t="s">
        <v>29</v>
      </c>
      <c r="B115">
        <v>3</v>
      </c>
      <c r="C115" t="s">
        <v>34</v>
      </c>
      <c r="D115" t="s">
        <v>39</v>
      </c>
      <c r="E115" s="2">
        <v>0</v>
      </c>
      <c r="F115">
        <v>0</v>
      </c>
      <c r="G115">
        <v>0</v>
      </c>
      <c r="H115">
        <v>0</v>
      </c>
      <c r="I115" t="s">
        <v>32</v>
      </c>
      <c r="J115">
        <v>0</v>
      </c>
      <c r="M115" t="s">
        <v>35</v>
      </c>
      <c r="N115">
        <v>34</v>
      </c>
      <c r="R115" t="s">
        <v>36</v>
      </c>
      <c r="S115">
        <v>43</v>
      </c>
    </row>
    <row r="116" spans="1:19" x14ac:dyDescent="0.25">
      <c r="A116" t="s">
        <v>29</v>
      </c>
      <c r="B116">
        <v>3</v>
      </c>
      <c r="C116" t="s">
        <v>34</v>
      </c>
      <c r="D116" t="s">
        <v>39</v>
      </c>
      <c r="E116" s="2">
        <v>0</v>
      </c>
      <c r="F116">
        <v>0</v>
      </c>
      <c r="G116">
        <v>0</v>
      </c>
      <c r="H116">
        <v>0</v>
      </c>
      <c r="I116" t="s">
        <v>32</v>
      </c>
      <c r="J116">
        <v>0</v>
      </c>
      <c r="M116" t="s">
        <v>35</v>
      </c>
      <c r="N116">
        <v>31</v>
      </c>
      <c r="R116" t="s">
        <v>36</v>
      </c>
      <c r="S116">
        <v>42</v>
      </c>
    </row>
    <row r="117" spans="1:19" x14ac:dyDescent="0.25">
      <c r="A117" t="s">
        <v>29</v>
      </c>
      <c r="B117">
        <v>3</v>
      </c>
      <c r="C117" t="s">
        <v>34</v>
      </c>
      <c r="D117" t="s">
        <v>39</v>
      </c>
      <c r="E117" s="2">
        <v>0</v>
      </c>
      <c r="F117">
        <v>0</v>
      </c>
      <c r="G117">
        <v>0</v>
      </c>
      <c r="H117">
        <v>0</v>
      </c>
      <c r="I117" t="s">
        <v>32</v>
      </c>
      <c r="J117">
        <v>0</v>
      </c>
      <c r="M117" t="s">
        <v>35</v>
      </c>
      <c r="N117">
        <v>31</v>
      </c>
      <c r="R117" t="s">
        <v>36</v>
      </c>
      <c r="S117">
        <v>43</v>
      </c>
    </row>
    <row r="118" spans="1:19" x14ac:dyDescent="0.25">
      <c r="A118" t="s">
        <v>29</v>
      </c>
      <c r="B118">
        <v>3</v>
      </c>
      <c r="C118" t="s">
        <v>34</v>
      </c>
      <c r="D118" t="s">
        <v>39</v>
      </c>
      <c r="E118" s="2">
        <v>0</v>
      </c>
      <c r="F118">
        <v>0</v>
      </c>
      <c r="G118">
        <v>0</v>
      </c>
      <c r="H118">
        <v>0</v>
      </c>
      <c r="I118" t="s">
        <v>32</v>
      </c>
      <c r="J118">
        <v>0</v>
      </c>
      <c r="M118" t="s">
        <v>35</v>
      </c>
      <c r="N118">
        <v>13</v>
      </c>
      <c r="R118" t="s">
        <v>36</v>
      </c>
      <c r="S118">
        <v>24</v>
      </c>
    </row>
    <row r="119" spans="1:19" x14ac:dyDescent="0.25">
      <c r="A119" t="s">
        <v>29</v>
      </c>
      <c r="B119">
        <v>3</v>
      </c>
      <c r="C119" t="s">
        <v>34</v>
      </c>
      <c r="D119" t="s">
        <v>39</v>
      </c>
      <c r="E119" s="2">
        <v>0</v>
      </c>
      <c r="F119">
        <v>0</v>
      </c>
      <c r="G119">
        <v>0</v>
      </c>
      <c r="H119">
        <v>0</v>
      </c>
      <c r="I119" t="s">
        <v>32</v>
      </c>
      <c r="J119">
        <v>0</v>
      </c>
      <c r="M119" t="s">
        <v>35</v>
      </c>
      <c r="N119">
        <v>0</v>
      </c>
      <c r="R119" t="s">
        <v>36</v>
      </c>
      <c r="S119">
        <v>0</v>
      </c>
    </row>
    <row r="120" spans="1:19" x14ac:dyDescent="0.25">
      <c r="A120" t="s">
        <v>29</v>
      </c>
      <c r="B120">
        <v>3</v>
      </c>
      <c r="C120" t="s">
        <v>34</v>
      </c>
      <c r="D120" t="s">
        <v>39</v>
      </c>
      <c r="E120" s="2">
        <v>0</v>
      </c>
      <c r="F120">
        <v>0</v>
      </c>
      <c r="G120">
        <v>0</v>
      </c>
      <c r="H120">
        <v>0</v>
      </c>
      <c r="I120" t="s">
        <v>32</v>
      </c>
      <c r="J120">
        <v>0</v>
      </c>
      <c r="M120" t="s">
        <v>35</v>
      </c>
      <c r="N120">
        <v>12</v>
      </c>
      <c r="R120" t="s">
        <v>36</v>
      </c>
      <c r="S120">
        <v>91</v>
      </c>
    </row>
    <row r="121" spans="1:19" x14ac:dyDescent="0.25">
      <c r="A121" t="s">
        <v>29</v>
      </c>
      <c r="B121">
        <v>3</v>
      </c>
      <c r="C121" t="s">
        <v>34</v>
      </c>
      <c r="D121" t="s">
        <v>39</v>
      </c>
      <c r="E121" s="2">
        <v>0</v>
      </c>
      <c r="F121">
        <v>0</v>
      </c>
      <c r="G121">
        <v>0</v>
      </c>
      <c r="H121">
        <v>0</v>
      </c>
      <c r="I121" t="s">
        <v>32</v>
      </c>
      <c r="J121">
        <v>0</v>
      </c>
      <c r="M121" t="s">
        <v>35</v>
      </c>
      <c r="N121">
        <v>55</v>
      </c>
      <c r="R121" t="s">
        <v>36</v>
      </c>
      <c r="S121">
        <v>48</v>
      </c>
    </row>
    <row r="122" spans="1:19" x14ac:dyDescent="0.25">
      <c r="A122" t="s">
        <v>29</v>
      </c>
      <c r="B122">
        <v>3</v>
      </c>
      <c r="C122" t="s">
        <v>34</v>
      </c>
      <c r="D122" t="s">
        <v>39</v>
      </c>
      <c r="E122" s="2">
        <v>0</v>
      </c>
      <c r="F122">
        <v>0</v>
      </c>
      <c r="G122">
        <v>0</v>
      </c>
      <c r="H122">
        <v>0</v>
      </c>
      <c r="I122" t="s">
        <v>32</v>
      </c>
      <c r="J122">
        <v>0</v>
      </c>
      <c r="M122" t="s">
        <v>35</v>
      </c>
      <c r="N122">
        <v>39</v>
      </c>
      <c r="R122" t="s">
        <v>36</v>
      </c>
      <c r="S122">
        <v>9</v>
      </c>
    </row>
    <row r="123" spans="1:19" x14ac:dyDescent="0.25">
      <c r="A123" t="s">
        <v>29</v>
      </c>
      <c r="B123">
        <v>3</v>
      </c>
      <c r="C123" t="s">
        <v>34</v>
      </c>
      <c r="D123" t="s">
        <v>39</v>
      </c>
      <c r="E123" s="2">
        <v>0</v>
      </c>
      <c r="F123">
        <v>0</v>
      </c>
      <c r="G123">
        <v>0</v>
      </c>
      <c r="H123">
        <v>0</v>
      </c>
      <c r="I123" t="s">
        <v>32</v>
      </c>
      <c r="J123">
        <v>0</v>
      </c>
      <c r="M123" t="s">
        <v>35</v>
      </c>
      <c r="N123">
        <v>0</v>
      </c>
      <c r="R123" t="s">
        <v>38</v>
      </c>
      <c r="S123">
        <v>0</v>
      </c>
    </row>
    <row r="124" spans="1:19" x14ac:dyDescent="0.25">
      <c r="A124" t="s">
        <v>29</v>
      </c>
      <c r="B124">
        <v>4</v>
      </c>
      <c r="C124" t="s">
        <v>30</v>
      </c>
      <c r="D124" t="s">
        <v>40</v>
      </c>
      <c r="E124" s="2">
        <v>0</v>
      </c>
      <c r="F124">
        <v>0</v>
      </c>
      <c r="G124">
        <v>0</v>
      </c>
      <c r="H124">
        <v>0</v>
      </c>
      <c r="I124" t="s">
        <v>32</v>
      </c>
      <c r="J124">
        <v>0</v>
      </c>
      <c r="M124" t="s">
        <v>35</v>
      </c>
      <c r="N124">
        <v>0</v>
      </c>
      <c r="R124" t="s">
        <v>38</v>
      </c>
      <c r="S124">
        <v>0</v>
      </c>
    </row>
    <row r="125" spans="1:19" x14ac:dyDescent="0.25">
      <c r="A125" t="s">
        <v>29</v>
      </c>
      <c r="B125">
        <v>4</v>
      </c>
      <c r="C125" t="s">
        <v>30</v>
      </c>
      <c r="D125" t="s">
        <v>40</v>
      </c>
      <c r="E125" s="2">
        <v>0</v>
      </c>
      <c r="F125">
        <v>0</v>
      </c>
      <c r="G125">
        <v>0</v>
      </c>
      <c r="H125">
        <v>0</v>
      </c>
      <c r="I125" t="s">
        <v>32</v>
      </c>
      <c r="J125">
        <v>0</v>
      </c>
      <c r="M125" t="s">
        <v>35</v>
      </c>
      <c r="N125">
        <v>0</v>
      </c>
      <c r="R125" t="s">
        <v>38</v>
      </c>
      <c r="S125">
        <v>17</v>
      </c>
    </row>
    <row r="126" spans="1:19" x14ac:dyDescent="0.25">
      <c r="A126" t="s">
        <v>29</v>
      </c>
      <c r="B126">
        <v>4</v>
      </c>
      <c r="C126" t="s">
        <v>30</v>
      </c>
      <c r="D126" t="s">
        <v>40</v>
      </c>
      <c r="E126" s="2">
        <v>0</v>
      </c>
      <c r="F126">
        <v>0</v>
      </c>
      <c r="G126">
        <v>0</v>
      </c>
      <c r="H126">
        <v>0</v>
      </c>
      <c r="I126" t="s">
        <v>32</v>
      </c>
      <c r="J126">
        <v>0</v>
      </c>
      <c r="M126" t="s">
        <v>35</v>
      </c>
      <c r="N126">
        <v>0</v>
      </c>
      <c r="R126" t="s">
        <v>38</v>
      </c>
      <c r="S126">
        <v>9</v>
      </c>
    </row>
    <row r="127" spans="1:19" x14ac:dyDescent="0.25">
      <c r="A127" t="s">
        <v>29</v>
      </c>
      <c r="B127">
        <v>4</v>
      </c>
      <c r="C127" t="s">
        <v>30</v>
      </c>
      <c r="D127" t="s">
        <v>40</v>
      </c>
      <c r="E127" s="2">
        <v>0</v>
      </c>
      <c r="F127">
        <v>0</v>
      </c>
      <c r="G127">
        <v>0</v>
      </c>
      <c r="H127">
        <v>0</v>
      </c>
      <c r="I127" t="s">
        <v>32</v>
      </c>
      <c r="J127">
        <v>0</v>
      </c>
      <c r="M127" t="s">
        <v>35</v>
      </c>
      <c r="N127">
        <v>0</v>
      </c>
      <c r="R127" t="s">
        <v>38</v>
      </c>
      <c r="S127">
        <v>0</v>
      </c>
    </row>
    <row r="128" spans="1:19" x14ac:dyDescent="0.25">
      <c r="A128" t="s">
        <v>29</v>
      </c>
      <c r="B128">
        <v>4</v>
      </c>
      <c r="C128" t="s">
        <v>30</v>
      </c>
      <c r="D128" t="s">
        <v>40</v>
      </c>
      <c r="E128" s="2">
        <v>0</v>
      </c>
      <c r="F128">
        <v>0</v>
      </c>
      <c r="G128">
        <v>0</v>
      </c>
      <c r="H128">
        <v>0</v>
      </c>
      <c r="I128" t="s">
        <v>32</v>
      </c>
      <c r="J128">
        <v>0</v>
      </c>
      <c r="M128" t="s">
        <v>35</v>
      </c>
      <c r="N128">
        <v>33</v>
      </c>
      <c r="R128" t="s">
        <v>38</v>
      </c>
      <c r="S128">
        <v>0</v>
      </c>
    </row>
    <row r="129" spans="1:19" x14ac:dyDescent="0.25">
      <c r="A129" t="s">
        <v>29</v>
      </c>
      <c r="B129">
        <v>4</v>
      </c>
      <c r="C129" t="s">
        <v>30</v>
      </c>
      <c r="D129" t="s">
        <v>40</v>
      </c>
      <c r="E129" s="2">
        <v>0</v>
      </c>
      <c r="F129">
        <v>0</v>
      </c>
      <c r="G129">
        <v>0</v>
      </c>
      <c r="H129">
        <v>0</v>
      </c>
      <c r="I129" t="s">
        <v>32</v>
      </c>
      <c r="J129">
        <v>0</v>
      </c>
      <c r="M129" t="s">
        <v>35</v>
      </c>
      <c r="N129">
        <v>0</v>
      </c>
      <c r="R129" t="s">
        <v>38</v>
      </c>
      <c r="S129">
        <v>32</v>
      </c>
    </row>
    <row r="130" spans="1:19" x14ac:dyDescent="0.25">
      <c r="A130" t="s">
        <v>29</v>
      </c>
      <c r="B130">
        <v>4</v>
      </c>
      <c r="C130" t="s">
        <v>30</v>
      </c>
      <c r="D130" t="s">
        <v>40</v>
      </c>
      <c r="E130" s="2">
        <v>0</v>
      </c>
      <c r="F130">
        <v>0</v>
      </c>
      <c r="G130">
        <v>0</v>
      </c>
      <c r="H130">
        <v>0</v>
      </c>
      <c r="I130" t="s">
        <v>32</v>
      </c>
      <c r="J130">
        <v>0</v>
      </c>
      <c r="M130" t="s">
        <v>35</v>
      </c>
      <c r="N130">
        <v>0</v>
      </c>
      <c r="R130" t="s">
        <v>38</v>
      </c>
      <c r="S130">
        <v>0</v>
      </c>
    </row>
    <row r="131" spans="1:19" x14ac:dyDescent="0.25">
      <c r="A131" t="s">
        <v>29</v>
      </c>
      <c r="B131">
        <v>4</v>
      </c>
      <c r="C131" t="s">
        <v>30</v>
      </c>
      <c r="D131" t="s">
        <v>40</v>
      </c>
      <c r="E131" s="2">
        <v>0</v>
      </c>
      <c r="F131">
        <v>0</v>
      </c>
      <c r="G131">
        <v>0</v>
      </c>
      <c r="H131">
        <v>0</v>
      </c>
      <c r="I131" t="s">
        <v>32</v>
      </c>
      <c r="J131">
        <v>0</v>
      </c>
      <c r="M131" t="s">
        <v>35</v>
      </c>
      <c r="N131">
        <v>15</v>
      </c>
      <c r="R131" t="s">
        <v>38</v>
      </c>
      <c r="S131">
        <v>23</v>
      </c>
    </row>
    <row r="132" spans="1:19" x14ac:dyDescent="0.25">
      <c r="A132" t="s">
        <v>29</v>
      </c>
      <c r="B132">
        <v>4</v>
      </c>
      <c r="C132" t="s">
        <v>30</v>
      </c>
      <c r="D132" t="s">
        <v>40</v>
      </c>
      <c r="E132" s="2">
        <v>0</v>
      </c>
      <c r="F132">
        <v>0</v>
      </c>
      <c r="G132">
        <v>0</v>
      </c>
      <c r="H132">
        <v>0</v>
      </c>
      <c r="I132" t="s">
        <v>32</v>
      </c>
      <c r="J132">
        <v>0</v>
      </c>
      <c r="M132" t="s">
        <v>35</v>
      </c>
      <c r="N132">
        <v>12</v>
      </c>
      <c r="R132" t="s">
        <v>38</v>
      </c>
      <c r="S132">
        <v>15</v>
      </c>
    </row>
    <row r="133" spans="1:19" x14ac:dyDescent="0.25">
      <c r="A133" t="s">
        <v>29</v>
      </c>
      <c r="B133">
        <v>4</v>
      </c>
      <c r="C133" t="s">
        <v>30</v>
      </c>
      <c r="D133" t="s">
        <v>40</v>
      </c>
      <c r="E133" s="2">
        <v>0</v>
      </c>
      <c r="F133">
        <v>0</v>
      </c>
      <c r="G133">
        <v>0</v>
      </c>
      <c r="H133">
        <v>0</v>
      </c>
      <c r="I133" t="s">
        <v>32</v>
      </c>
      <c r="J133">
        <v>0</v>
      </c>
      <c r="M133" t="s">
        <v>35</v>
      </c>
      <c r="N133">
        <v>79</v>
      </c>
      <c r="R133" t="s">
        <v>38</v>
      </c>
      <c r="S133">
        <v>0</v>
      </c>
    </row>
    <row r="134" spans="1:19" x14ac:dyDescent="0.25">
      <c r="A134" t="s">
        <v>29</v>
      </c>
      <c r="B134">
        <v>4</v>
      </c>
      <c r="C134" t="s">
        <v>30</v>
      </c>
      <c r="D134" t="s">
        <v>40</v>
      </c>
      <c r="E134" s="2">
        <v>0</v>
      </c>
      <c r="F134">
        <v>0</v>
      </c>
      <c r="G134">
        <v>0</v>
      </c>
      <c r="H134">
        <v>0</v>
      </c>
      <c r="I134" t="s">
        <v>32</v>
      </c>
      <c r="J134">
        <v>0</v>
      </c>
      <c r="M134" t="s">
        <v>37</v>
      </c>
      <c r="N134">
        <v>48</v>
      </c>
      <c r="R134" t="s">
        <v>38</v>
      </c>
      <c r="S134">
        <v>0</v>
      </c>
    </row>
    <row r="135" spans="1:19" x14ac:dyDescent="0.25">
      <c r="A135" t="s">
        <v>29</v>
      </c>
      <c r="B135">
        <v>4</v>
      </c>
      <c r="C135" t="s">
        <v>30</v>
      </c>
      <c r="D135" t="s">
        <v>40</v>
      </c>
      <c r="E135" s="2">
        <v>0</v>
      </c>
      <c r="F135">
        <v>0</v>
      </c>
      <c r="G135">
        <v>0</v>
      </c>
      <c r="H135">
        <v>0</v>
      </c>
      <c r="I135" t="s">
        <v>32</v>
      </c>
      <c r="J135">
        <v>0</v>
      </c>
      <c r="M135" t="s">
        <v>37</v>
      </c>
      <c r="N135">
        <v>0</v>
      </c>
      <c r="R135" t="s">
        <v>38</v>
      </c>
      <c r="S135">
        <v>0</v>
      </c>
    </row>
    <row r="136" spans="1:19" x14ac:dyDescent="0.25">
      <c r="A136" t="s">
        <v>29</v>
      </c>
      <c r="B136">
        <v>4</v>
      </c>
      <c r="C136" t="s">
        <v>30</v>
      </c>
      <c r="D136" t="s">
        <v>40</v>
      </c>
      <c r="E136" s="2">
        <v>0</v>
      </c>
      <c r="F136">
        <v>0</v>
      </c>
      <c r="G136">
        <v>0</v>
      </c>
      <c r="H136">
        <v>0</v>
      </c>
      <c r="I136" t="s">
        <v>32</v>
      </c>
      <c r="J136">
        <v>0</v>
      </c>
      <c r="M136" t="s">
        <v>37</v>
      </c>
      <c r="N136">
        <v>0</v>
      </c>
      <c r="R136" t="s">
        <v>38</v>
      </c>
      <c r="S136">
        <v>27</v>
      </c>
    </row>
    <row r="137" spans="1:19" x14ac:dyDescent="0.25">
      <c r="A137" t="s">
        <v>29</v>
      </c>
      <c r="B137">
        <v>4</v>
      </c>
      <c r="C137" t="s">
        <v>30</v>
      </c>
      <c r="D137" t="s">
        <v>40</v>
      </c>
      <c r="E137" s="2">
        <v>0</v>
      </c>
      <c r="F137">
        <v>0</v>
      </c>
      <c r="G137">
        <v>0</v>
      </c>
      <c r="H137">
        <v>0</v>
      </c>
      <c r="I137" t="s">
        <v>32</v>
      </c>
      <c r="J137">
        <v>0</v>
      </c>
      <c r="M137" t="s">
        <v>37</v>
      </c>
      <c r="N137">
        <v>27</v>
      </c>
      <c r="R137" t="s">
        <v>38</v>
      </c>
      <c r="S137">
        <v>31</v>
      </c>
    </row>
    <row r="138" spans="1:19" x14ac:dyDescent="0.25">
      <c r="A138" t="s">
        <v>29</v>
      </c>
      <c r="B138">
        <v>4</v>
      </c>
      <c r="C138" t="s">
        <v>30</v>
      </c>
      <c r="D138" t="s">
        <v>40</v>
      </c>
      <c r="E138" s="2">
        <v>0</v>
      </c>
      <c r="F138">
        <v>0</v>
      </c>
      <c r="G138">
        <v>0</v>
      </c>
      <c r="H138">
        <v>0</v>
      </c>
      <c r="I138" t="s">
        <v>32</v>
      </c>
      <c r="J138">
        <v>0</v>
      </c>
      <c r="M138" t="s">
        <v>37</v>
      </c>
      <c r="N138">
        <v>17</v>
      </c>
      <c r="R138" t="s">
        <v>38</v>
      </c>
      <c r="S138">
        <v>58</v>
      </c>
    </row>
    <row r="139" spans="1:19" x14ac:dyDescent="0.25">
      <c r="A139" t="s">
        <v>29</v>
      </c>
      <c r="B139">
        <v>4</v>
      </c>
      <c r="C139" t="s">
        <v>30</v>
      </c>
      <c r="D139" t="s">
        <v>40</v>
      </c>
      <c r="E139" s="2">
        <v>0</v>
      </c>
      <c r="F139">
        <v>0</v>
      </c>
      <c r="G139">
        <v>0</v>
      </c>
      <c r="H139">
        <v>0</v>
      </c>
      <c r="I139" t="s">
        <v>32</v>
      </c>
      <c r="J139">
        <v>0</v>
      </c>
      <c r="M139" t="s">
        <v>37</v>
      </c>
      <c r="N139">
        <v>16</v>
      </c>
      <c r="R139" t="s">
        <v>38</v>
      </c>
      <c r="S139">
        <v>0</v>
      </c>
    </row>
    <row r="140" spans="1:19" x14ac:dyDescent="0.25">
      <c r="A140" t="s">
        <v>29</v>
      </c>
      <c r="B140">
        <v>4</v>
      </c>
      <c r="C140" t="s">
        <v>30</v>
      </c>
      <c r="D140" t="s">
        <v>40</v>
      </c>
      <c r="E140" s="2">
        <v>0</v>
      </c>
      <c r="F140">
        <v>0</v>
      </c>
      <c r="G140">
        <v>0</v>
      </c>
      <c r="H140">
        <v>0</v>
      </c>
      <c r="I140" t="s">
        <v>32</v>
      </c>
      <c r="J140">
        <v>0</v>
      </c>
      <c r="M140" t="s">
        <v>37</v>
      </c>
      <c r="N140">
        <v>0</v>
      </c>
      <c r="R140" t="s">
        <v>38</v>
      </c>
      <c r="S140">
        <v>22</v>
      </c>
    </row>
    <row r="141" spans="1:19" x14ac:dyDescent="0.25">
      <c r="A141" t="s">
        <v>29</v>
      </c>
      <c r="B141">
        <v>4</v>
      </c>
      <c r="C141" t="s">
        <v>30</v>
      </c>
      <c r="D141" t="s">
        <v>40</v>
      </c>
      <c r="E141" s="2">
        <v>0</v>
      </c>
      <c r="F141">
        <v>0</v>
      </c>
      <c r="G141">
        <v>0</v>
      </c>
      <c r="H141">
        <v>0</v>
      </c>
      <c r="I141" t="s">
        <v>32</v>
      </c>
      <c r="J141">
        <v>0</v>
      </c>
      <c r="M141" t="s">
        <v>37</v>
      </c>
      <c r="N141">
        <v>8</v>
      </c>
      <c r="R141" t="s">
        <v>38</v>
      </c>
      <c r="S141">
        <v>38</v>
      </c>
    </row>
    <row r="142" spans="1:19" x14ac:dyDescent="0.25">
      <c r="A142" t="s">
        <v>29</v>
      </c>
      <c r="B142">
        <v>4</v>
      </c>
      <c r="C142" t="s">
        <v>30</v>
      </c>
      <c r="D142" t="s">
        <v>40</v>
      </c>
      <c r="E142" s="2">
        <v>0</v>
      </c>
      <c r="F142">
        <v>0</v>
      </c>
      <c r="G142">
        <v>0</v>
      </c>
      <c r="H142">
        <v>0</v>
      </c>
      <c r="I142" t="s">
        <v>32</v>
      </c>
      <c r="J142">
        <v>0</v>
      </c>
      <c r="M142" t="s">
        <v>37</v>
      </c>
      <c r="N142">
        <v>51</v>
      </c>
      <c r="R142" t="s">
        <v>38</v>
      </c>
      <c r="S142">
        <v>45</v>
      </c>
    </row>
    <row r="143" spans="1:19" x14ac:dyDescent="0.25">
      <c r="A143" t="s">
        <v>29</v>
      </c>
      <c r="B143">
        <v>4</v>
      </c>
      <c r="C143" t="s">
        <v>30</v>
      </c>
      <c r="D143" t="s">
        <v>40</v>
      </c>
      <c r="E143" s="2">
        <v>0</v>
      </c>
      <c r="F143">
        <v>0</v>
      </c>
      <c r="G143">
        <v>0</v>
      </c>
      <c r="H143">
        <v>0</v>
      </c>
      <c r="I143" t="s">
        <v>32</v>
      </c>
      <c r="J143">
        <v>0</v>
      </c>
      <c r="M143" t="s">
        <v>37</v>
      </c>
      <c r="N143">
        <v>134</v>
      </c>
      <c r="R143" t="s">
        <v>38</v>
      </c>
      <c r="S143">
        <v>140</v>
      </c>
    </row>
    <row r="144" spans="1:19" x14ac:dyDescent="0.25">
      <c r="A144" t="s">
        <v>29</v>
      </c>
      <c r="B144">
        <v>4</v>
      </c>
      <c r="C144" t="s">
        <v>30</v>
      </c>
      <c r="D144" t="s">
        <v>40</v>
      </c>
      <c r="E144" s="2">
        <v>0</v>
      </c>
      <c r="F144">
        <v>0</v>
      </c>
      <c r="G144">
        <v>0</v>
      </c>
      <c r="H144">
        <v>0</v>
      </c>
      <c r="I144" t="s">
        <v>32</v>
      </c>
      <c r="J144">
        <v>0</v>
      </c>
      <c r="M144" t="s">
        <v>37</v>
      </c>
      <c r="N144">
        <v>54</v>
      </c>
      <c r="R144" t="s">
        <v>38</v>
      </c>
      <c r="S144">
        <v>51</v>
      </c>
    </row>
    <row r="145" spans="1:19" x14ac:dyDescent="0.25">
      <c r="A145" t="s">
        <v>29</v>
      </c>
      <c r="B145">
        <v>4</v>
      </c>
      <c r="C145" t="s">
        <v>30</v>
      </c>
      <c r="D145" t="s">
        <v>40</v>
      </c>
      <c r="E145" s="2">
        <v>0</v>
      </c>
      <c r="F145">
        <v>0</v>
      </c>
      <c r="G145">
        <v>0</v>
      </c>
      <c r="H145">
        <v>0</v>
      </c>
      <c r="I145" t="s">
        <v>32</v>
      </c>
      <c r="J145">
        <v>0</v>
      </c>
      <c r="M145" t="s">
        <v>37</v>
      </c>
      <c r="N145">
        <v>17</v>
      </c>
      <c r="R145" t="s">
        <v>38</v>
      </c>
      <c r="S145">
        <v>0</v>
      </c>
    </row>
    <row r="146" spans="1:19" x14ac:dyDescent="0.25">
      <c r="A146" t="s">
        <v>29</v>
      </c>
      <c r="B146">
        <v>4</v>
      </c>
      <c r="C146" t="s">
        <v>30</v>
      </c>
      <c r="D146" t="s">
        <v>40</v>
      </c>
      <c r="E146" s="2">
        <v>0</v>
      </c>
      <c r="F146">
        <v>0</v>
      </c>
      <c r="G146">
        <v>0</v>
      </c>
      <c r="H146">
        <v>0</v>
      </c>
      <c r="I146" t="s">
        <v>32</v>
      </c>
      <c r="J146">
        <v>0</v>
      </c>
      <c r="M146" t="s">
        <v>37</v>
      </c>
      <c r="N146">
        <v>33</v>
      </c>
      <c r="R146" t="s">
        <v>38</v>
      </c>
      <c r="S146">
        <v>76</v>
      </c>
    </row>
    <row r="147" spans="1:19" x14ac:dyDescent="0.25">
      <c r="A147" t="s">
        <v>29</v>
      </c>
      <c r="B147">
        <v>4</v>
      </c>
      <c r="C147" t="s">
        <v>30</v>
      </c>
      <c r="D147" t="s">
        <v>40</v>
      </c>
      <c r="E147" s="2">
        <v>0</v>
      </c>
      <c r="F147">
        <v>0</v>
      </c>
      <c r="G147">
        <v>0</v>
      </c>
      <c r="H147">
        <v>0</v>
      </c>
      <c r="I147" t="s">
        <v>32</v>
      </c>
      <c r="J147">
        <v>0</v>
      </c>
      <c r="M147" t="s">
        <v>37</v>
      </c>
      <c r="N147">
        <v>19</v>
      </c>
      <c r="R147" t="s">
        <v>38</v>
      </c>
      <c r="S147">
        <v>42</v>
      </c>
    </row>
    <row r="148" spans="1:19" x14ac:dyDescent="0.25">
      <c r="A148" t="s">
        <v>29</v>
      </c>
      <c r="B148">
        <v>4</v>
      </c>
      <c r="C148" t="s">
        <v>30</v>
      </c>
      <c r="D148" t="s">
        <v>40</v>
      </c>
      <c r="E148" s="2">
        <v>0</v>
      </c>
      <c r="F148">
        <v>0</v>
      </c>
      <c r="G148">
        <v>0</v>
      </c>
      <c r="H148">
        <v>0</v>
      </c>
      <c r="I148" t="s">
        <v>32</v>
      </c>
      <c r="J148">
        <v>0</v>
      </c>
      <c r="M148" t="s">
        <v>37</v>
      </c>
      <c r="N148">
        <v>71</v>
      </c>
      <c r="R148" t="s">
        <v>38</v>
      </c>
      <c r="S148">
        <v>68</v>
      </c>
    </row>
    <row r="149" spans="1:19" x14ac:dyDescent="0.25">
      <c r="A149" t="s">
        <v>29</v>
      </c>
      <c r="B149">
        <v>4</v>
      </c>
      <c r="C149" t="s">
        <v>30</v>
      </c>
      <c r="D149" t="s">
        <v>40</v>
      </c>
      <c r="E149" s="2">
        <v>0</v>
      </c>
      <c r="F149">
        <v>0</v>
      </c>
      <c r="G149">
        <v>0</v>
      </c>
      <c r="H149">
        <v>0</v>
      </c>
      <c r="I149" t="s">
        <v>32</v>
      </c>
      <c r="J149">
        <v>0</v>
      </c>
      <c r="M149" t="s">
        <v>37</v>
      </c>
      <c r="N149">
        <v>0</v>
      </c>
      <c r="R149" t="s">
        <v>38</v>
      </c>
      <c r="S149">
        <v>19</v>
      </c>
    </row>
    <row r="150" spans="1:19" x14ac:dyDescent="0.25">
      <c r="A150" t="s">
        <v>29</v>
      </c>
      <c r="B150">
        <v>4</v>
      </c>
      <c r="C150" t="s">
        <v>30</v>
      </c>
      <c r="D150" t="s">
        <v>40</v>
      </c>
      <c r="E150" s="2">
        <v>0</v>
      </c>
      <c r="F150">
        <v>0</v>
      </c>
      <c r="G150">
        <v>0</v>
      </c>
      <c r="H150">
        <v>0</v>
      </c>
      <c r="I150" t="s">
        <v>32</v>
      </c>
      <c r="J150">
        <v>0</v>
      </c>
      <c r="M150" t="s">
        <v>37</v>
      </c>
      <c r="N150">
        <v>40</v>
      </c>
      <c r="R150" t="s">
        <v>38</v>
      </c>
      <c r="S150">
        <v>0</v>
      </c>
    </row>
    <row r="151" spans="1:19" x14ac:dyDescent="0.25">
      <c r="A151" t="s">
        <v>29</v>
      </c>
      <c r="B151">
        <v>4</v>
      </c>
      <c r="C151" t="s">
        <v>30</v>
      </c>
      <c r="D151" t="s">
        <v>40</v>
      </c>
      <c r="E151" s="2">
        <v>0</v>
      </c>
      <c r="F151">
        <v>0</v>
      </c>
      <c r="G151">
        <v>0</v>
      </c>
      <c r="H151">
        <v>0</v>
      </c>
      <c r="I151" t="s">
        <v>32</v>
      </c>
      <c r="J151">
        <v>0</v>
      </c>
      <c r="M151" t="s">
        <v>37</v>
      </c>
      <c r="N151">
        <v>33</v>
      </c>
      <c r="R151" t="s">
        <v>38</v>
      </c>
      <c r="S151">
        <v>11</v>
      </c>
    </row>
    <row r="152" spans="1:19" x14ac:dyDescent="0.25">
      <c r="A152" t="s">
        <v>29</v>
      </c>
      <c r="B152">
        <v>4</v>
      </c>
      <c r="C152" t="s">
        <v>30</v>
      </c>
      <c r="D152" t="s">
        <v>40</v>
      </c>
      <c r="E152" s="2">
        <v>0</v>
      </c>
      <c r="F152">
        <v>0</v>
      </c>
      <c r="G152">
        <v>0</v>
      </c>
      <c r="H152">
        <v>0</v>
      </c>
      <c r="I152" t="s">
        <v>32</v>
      </c>
      <c r="J152">
        <v>0</v>
      </c>
      <c r="M152" t="s">
        <v>37</v>
      </c>
      <c r="N152">
        <v>5</v>
      </c>
      <c r="R152" t="s">
        <v>38</v>
      </c>
      <c r="S152">
        <v>14</v>
      </c>
    </row>
    <row r="153" spans="1:19" x14ac:dyDescent="0.25">
      <c r="A153" t="s">
        <v>29</v>
      </c>
      <c r="B153">
        <v>4</v>
      </c>
      <c r="C153" t="s">
        <v>30</v>
      </c>
      <c r="D153" t="s">
        <v>40</v>
      </c>
      <c r="E153" s="2">
        <v>0</v>
      </c>
      <c r="F153">
        <v>0</v>
      </c>
      <c r="G153">
        <v>0</v>
      </c>
      <c r="H153">
        <v>0</v>
      </c>
      <c r="I153" t="s">
        <v>32</v>
      </c>
      <c r="J153">
        <v>0</v>
      </c>
      <c r="M153" t="s">
        <v>37</v>
      </c>
      <c r="N153">
        <v>33</v>
      </c>
      <c r="R153" t="s">
        <v>38</v>
      </c>
      <c r="S153">
        <v>8</v>
      </c>
    </row>
    <row r="154" spans="1:19" x14ac:dyDescent="0.25">
      <c r="A154" t="s">
        <v>29</v>
      </c>
      <c r="B154">
        <v>4</v>
      </c>
      <c r="C154" t="s">
        <v>30</v>
      </c>
      <c r="D154" t="s">
        <v>40</v>
      </c>
      <c r="E154" s="2">
        <v>0</v>
      </c>
      <c r="F154">
        <v>0</v>
      </c>
      <c r="G154">
        <v>0</v>
      </c>
      <c r="H154">
        <v>0</v>
      </c>
      <c r="I154" t="s">
        <v>32</v>
      </c>
      <c r="J154">
        <v>0</v>
      </c>
      <c r="M154" t="s">
        <v>37</v>
      </c>
      <c r="N154">
        <v>8</v>
      </c>
      <c r="R154" t="s">
        <v>38</v>
      </c>
      <c r="S154">
        <v>0</v>
      </c>
    </row>
    <row r="155" spans="1:19" x14ac:dyDescent="0.25">
      <c r="A155" t="s">
        <v>29</v>
      </c>
      <c r="B155">
        <v>4</v>
      </c>
      <c r="C155" t="s">
        <v>30</v>
      </c>
      <c r="D155" t="s">
        <v>40</v>
      </c>
      <c r="E155" s="2">
        <v>0</v>
      </c>
      <c r="F155">
        <v>0</v>
      </c>
      <c r="G155">
        <v>0</v>
      </c>
      <c r="H155">
        <v>0</v>
      </c>
      <c r="I155" t="s">
        <v>32</v>
      </c>
      <c r="J155">
        <v>0</v>
      </c>
      <c r="M155" t="s">
        <v>37</v>
      </c>
      <c r="N155">
        <v>33</v>
      </c>
      <c r="R155" t="s">
        <v>38</v>
      </c>
      <c r="S155">
        <v>12</v>
      </c>
    </row>
    <row r="156" spans="1:19" x14ac:dyDescent="0.25">
      <c r="A156" t="s">
        <v>29</v>
      </c>
      <c r="B156">
        <v>4</v>
      </c>
      <c r="C156" t="s">
        <v>30</v>
      </c>
      <c r="D156" t="s">
        <v>40</v>
      </c>
      <c r="E156" s="2">
        <v>0</v>
      </c>
      <c r="F156">
        <v>0</v>
      </c>
      <c r="G156">
        <v>0</v>
      </c>
      <c r="H156">
        <v>0</v>
      </c>
      <c r="I156" t="s">
        <v>32</v>
      </c>
      <c r="J156">
        <v>0</v>
      </c>
      <c r="M156" t="s">
        <v>37</v>
      </c>
      <c r="N156">
        <v>0</v>
      </c>
      <c r="R156" t="s">
        <v>38</v>
      </c>
      <c r="S156">
        <v>4</v>
      </c>
    </row>
    <row r="157" spans="1:19" x14ac:dyDescent="0.25">
      <c r="A157" t="s">
        <v>29</v>
      </c>
      <c r="B157">
        <v>4</v>
      </c>
      <c r="C157" t="s">
        <v>30</v>
      </c>
      <c r="D157" t="s">
        <v>40</v>
      </c>
      <c r="E157" s="2">
        <v>0</v>
      </c>
      <c r="F157">
        <v>0</v>
      </c>
      <c r="G157">
        <v>0</v>
      </c>
      <c r="H157">
        <v>0</v>
      </c>
      <c r="I157" t="s">
        <v>32</v>
      </c>
      <c r="J157">
        <v>0</v>
      </c>
      <c r="M157" t="s">
        <v>37</v>
      </c>
      <c r="N157">
        <v>6</v>
      </c>
      <c r="R157" t="s">
        <v>38</v>
      </c>
      <c r="S157">
        <v>6</v>
      </c>
    </row>
    <row r="158" spans="1:19" x14ac:dyDescent="0.25">
      <c r="A158" t="s">
        <v>29</v>
      </c>
      <c r="B158">
        <v>4</v>
      </c>
      <c r="C158" t="s">
        <v>30</v>
      </c>
      <c r="D158" t="s">
        <v>40</v>
      </c>
      <c r="E158" s="2">
        <v>0</v>
      </c>
      <c r="F158">
        <v>0</v>
      </c>
      <c r="G158">
        <v>0</v>
      </c>
      <c r="H158">
        <v>0</v>
      </c>
      <c r="I158" t="s">
        <v>32</v>
      </c>
      <c r="J158">
        <v>0</v>
      </c>
      <c r="M158" t="s">
        <v>37</v>
      </c>
      <c r="N158">
        <v>63</v>
      </c>
      <c r="R158" t="s">
        <v>38</v>
      </c>
      <c r="S158">
        <v>0</v>
      </c>
    </row>
    <row r="159" spans="1:19" x14ac:dyDescent="0.25">
      <c r="A159" t="s">
        <v>29</v>
      </c>
      <c r="B159">
        <v>4</v>
      </c>
      <c r="C159" t="s">
        <v>30</v>
      </c>
      <c r="D159" t="s">
        <v>40</v>
      </c>
      <c r="E159" s="2">
        <v>0</v>
      </c>
      <c r="F159">
        <v>0</v>
      </c>
      <c r="G159">
        <v>0</v>
      </c>
      <c r="H159">
        <v>0</v>
      </c>
      <c r="I159" t="s">
        <v>32</v>
      </c>
      <c r="J159">
        <v>0</v>
      </c>
      <c r="M159" t="s">
        <v>37</v>
      </c>
      <c r="N159">
        <v>70</v>
      </c>
      <c r="R159" t="s">
        <v>38</v>
      </c>
      <c r="S159">
        <v>17</v>
      </c>
    </row>
    <row r="160" spans="1:19" x14ac:dyDescent="0.25">
      <c r="A160" t="s">
        <v>29</v>
      </c>
      <c r="B160">
        <v>4</v>
      </c>
      <c r="C160" t="s">
        <v>30</v>
      </c>
      <c r="D160" t="s">
        <v>40</v>
      </c>
      <c r="E160" s="2">
        <v>0</v>
      </c>
      <c r="F160">
        <v>0</v>
      </c>
      <c r="G160">
        <v>0</v>
      </c>
      <c r="H160">
        <v>0</v>
      </c>
      <c r="I160" t="s">
        <v>32</v>
      </c>
      <c r="J160">
        <v>0</v>
      </c>
      <c r="M160" t="s">
        <v>37</v>
      </c>
      <c r="N160">
        <v>84</v>
      </c>
      <c r="R160" t="s">
        <v>38</v>
      </c>
      <c r="S160">
        <v>22</v>
      </c>
    </row>
    <row r="161" spans="1:19" x14ac:dyDescent="0.25">
      <c r="A161" t="s">
        <v>29</v>
      </c>
      <c r="B161">
        <v>4</v>
      </c>
      <c r="C161" t="s">
        <v>34</v>
      </c>
      <c r="D161" t="s">
        <v>41</v>
      </c>
      <c r="E161" s="2">
        <v>0</v>
      </c>
      <c r="F161">
        <v>0</v>
      </c>
      <c r="G161">
        <v>0</v>
      </c>
      <c r="H161">
        <v>0</v>
      </c>
      <c r="I161" t="s">
        <v>32</v>
      </c>
      <c r="J161">
        <v>0</v>
      </c>
      <c r="M161" t="s">
        <v>37</v>
      </c>
      <c r="N161">
        <v>50</v>
      </c>
      <c r="R161" t="s">
        <v>38</v>
      </c>
      <c r="S161">
        <v>49</v>
      </c>
    </row>
    <row r="162" spans="1:19" x14ac:dyDescent="0.25">
      <c r="A162" t="s">
        <v>29</v>
      </c>
      <c r="B162">
        <v>4</v>
      </c>
      <c r="C162" t="s">
        <v>34</v>
      </c>
      <c r="D162" t="s">
        <v>41</v>
      </c>
      <c r="E162" s="2">
        <v>0</v>
      </c>
      <c r="F162">
        <v>0</v>
      </c>
      <c r="G162">
        <v>0</v>
      </c>
      <c r="H162">
        <v>0</v>
      </c>
      <c r="I162" t="s">
        <v>32</v>
      </c>
      <c r="J162">
        <v>0</v>
      </c>
      <c r="M162" t="s">
        <v>37</v>
      </c>
      <c r="N162">
        <v>0</v>
      </c>
      <c r="R162" t="s">
        <v>38</v>
      </c>
      <c r="S162">
        <v>46</v>
      </c>
    </row>
    <row r="163" spans="1:19" x14ac:dyDescent="0.25">
      <c r="A163" t="s">
        <v>29</v>
      </c>
      <c r="B163">
        <v>4</v>
      </c>
      <c r="C163" t="s">
        <v>34</v>
      </c>
      <c r="D163" t="s">
        <v>41</v>
      </c>
      <c r="E163" s="2">
        <v>0</v>
      </c>
      <c r="F163">
        <v>0</v>
      </c>
      <c r="G163">
        <v>0</v>
      </c>
      <c r="H163">
        <v>0</v>
      </c>
      <c r="I163" t="s">
        <v>32</v>
      </c>
      <c r="J163">
        <v>0</v>
      </c>
      <c r="M163" t="s">
        <v>37</v>
      </c>
      <c r="N163">
        <v>7</v>
      </c>
      <c r="R163" t="s">
        <v>38</v>
      </c>
      <c r="S163">
        <v>0</v>
      </c>
    </row>
    <row r="164" spans="1:19" x14ac:dyDescent="0.25">
      <c r="A164" t="s">
        <v>29</v>
      </c>
      <c r="B164">
        <v>4</v>
      </c>
      <c r="C164" t="s">
        <v>34</v>
      </c>
      <c r="D164" t="s">
        <v>41</v>
      </c>
      <c r="E164" s="2">
        <v>0</v>
      </c>
      <c r="F164">
        <v>0</v>
      </c>
      <c r="G164">
        <v>0</v>
      </c>
      <c r="H164">
        <v>0</v>
      </c>
      <c r="I164" t="s">
        <v>32</v>
      </c>
      <c r="J164">
        <v>0</v>
      </c>
      <c r="M164" t="s">
        <v>37</v>
      </c>
      <c r="N164">
        <v>0</v>
      </c>
      <c r="R164" t="s">
        <v>38</v>
      </c>
      <c r="S164">
        <v>26</v>
      </c>
    </row>
    <row r="165" spans="1:19" x14ac:dyDescent="0.25">
      <c r="A165" t="s">
        <v>42</v>
      </c>
      <c r="B165">
        <v>1</v>
      </c>
      <c r="C165" t="s">
        <v>30</v>
      </c>
      <c r="D165" t="s">
        <v>43</v>
      </c>
      <c r="E165" s="2">
        <v>0</v>
      </c>
      <c r="F165">
        <v>0</v>
      </c>
      <c r="G165">
        <v>0</v>
      </c>
      <c r="H165">
        <v>0</v>
      </c>
      <c r="I165" t="s">
        <v>32</v>
      </c>
      <c r="J165">
        <v>0</v>
      </c>
      <c r="M165" t="s">
        <v>37</v>
      </c>
      <c r="N165">
        <v>0</v>
      </c>
      <c r="R165" t="s">
        <v>38</v>
      </c>
      <c r="S165">
        <v>7</v>
      </c>
    </row>
    <row r="166" spans="1:19" x14ac:dyDescent="0.25">
      <c r="A166" t="s">
        <v>42</v>
      </c>
      <c r="B166">
        <v>1</v>
      </c>
      <c r="C166" t="s">
        <v>30</v>
      </c>
      <c r="D166" t="s">
        <v>43</v>
      </c>
      <c r="E166" s="2">
        <v>0</v>
      </c>
      <c r="F166">
        <v>0</v>
      </c>
      <c r="G166">
        <v>0</v>
      </c>
      <c r="H166">
        <v>0</v>
      </c>
      <c r="I166" t="s">
        <v>32</v>
      </c>
      <c r="J166">
        <v>0</v>
      </c>
      <c r="M166" t="s">
        <v>37</v>
      </c>
      <c r="N166">
        <v>82</v>
      </c>
      <c r="R166" t="s">
        <v>38</v>
      </c>
      <c r="S166">
        <v>30</v>
      </c>
    </row>
    <row r="167" spans="1:19" x14ac:dyDescent="0.25">
      <c r="A167" t="s">
        <v>42</v>
      </c>
      <c r="B167">
        <v>1</v>
      </c>
      <c r="C167" t="s">
        <v>30</v>
      </c>
      <c r="D167" t="s">
        <v>43</v>
      </c>
      <c r="E167" s="2">
        <v>0</v>
      </c>
      <c r="F167">
        <v>0</v>
      </c>
      <c r="G167">
        <v>0</v>
      </c>
      <c r="H167">
        <v>0</v>
      </c>
      <c r="I167" t="s">
        <v>32</v>
      </c>
      <c r="J167">
        <v>0</v>
      </c>
      <c r="M167" t="s">
        <v>37</v>
      </c>
      <c r="N167">
        <v>22</v>
      </c>
      <c r="R167" t="s">
        <v>38</v>
      </c>
      <c r="S167">
        <v>48</v>
      </c>
    </row>
    <row r="168" spans="1:19" x14ac:dyDescent="0.25">
      <c r="A168" t="s">
        <v>42</v>
      </c>
      <c r="B168">
        <v>1</v>
      </c>
      <c r="C168" t="s">
        <v>30</v>
      </c>
      <c r="D168" t="s">
        <v>43</v>
      </c>
      <c r="E168" s="2">
        <v>0</v>
      </c>
      <c r="F168">
        <v>0</v>
      </c>
      <c r="G168">
        <v>0</v>
      </c>
      <c r="H168">
        <v>0</v>
      </c>
      <c r="I168" t="s">
        <v>32</v>
      </c>
      <c r="J168">
        <v>0</v>
      </c>
      <c r="M168" t="s">
        <v>37</v>
      </c>
      <c r="N168">
        <v>9</v>
      </c>
      <c r="R168" t="s">
        <v>38</v>
      </c>
      <c r="S168">
        <v>5</v>
      </c>
    </row>
    <row r="169" spans="1:19" x14ac:dyDescent="0.25">
      <c r="A169" t="s">
        <v>42</v>
      </c>
      <c r="B169">
        <v>1</v>
      </c>
      <c r="C169" t="s">
        <v>30</v>
      </c>
      <c r="D169" t="s">
        <v>43</v>
      </c>
      <c r="E169" s="2">
        <v>0</v>
      </c>
      <c r="F169">
        <v>0</v>
      </c>
      <c r="G169">
        <v>0</v>
      </c>
      <c r="H169">
        <v>0</v>
      </c>
      <c r="I169" t="s">
        <v>32</v>
      </c>
      <c r="J169">
        <v>0</v>
      </c>
      <c r="M169" t="s">
        <v>37</v>
      </c>
      <c r="N169">
        <v>0</v>
      </c>
      <c r="R169" t="s">
        <v>38</v>
      </c>
      <c r="S169">
        <v>39</v>
      </c>
    </row>
    <row r="170" spans="1:19" x14ac:dyDescent="0.25">
      <c r="A170" t="s">
        <v>42</v>
      </c>
      <c r="B170">
        <v>1</v>
      </c>
      <c r="C170" t="s">
        <v>30</v>
      </c>
      <c r="D170" t="s">
        <v>43</v>
      </c>
      <c r="E170" s="2">
        <v>0</v>
      </c>
      <c r="F170">
        <v>0</v>
      </c>
      <c r="G170">
        <v>0</v>
      </c>
      <c r="H170">
        <v>0</v>
      </c>
      <c r="I170" t="s">
        <v>32</v>
      </c>
      <c r="J170">
        <v>0</v>
      </c>
      <c r="M170" t="s">
        <v>37</v>
      </c>
      <c r="N170">
        <v>55</v>
      </c>
      <c r="R170" t="s">
        <v>38</v>
      </c>
      <c r="S170">
        <v>33</v>
      </c>
    </row>
    <row r="171" spans="1:19" x14ac:dyDescent="0.25">
      <c r="A171" t="s">
        <v>42</v>
      </c>
      <c r="B171">
        <v>1</v>
      </c>
      <c r="C171" t="s">
        <v>30</v>
      </c>
      <c r="D171" t="s">
        <v>43</v>
      </c>
      <c r="E171" s="2">
        <v>0</v>
      </c>
      <c r="F171">
        <v>0</v>
      </c>
      <c r="G171">
        <v>0</v>
      </c>
      <c r="H171">
        <v>0</v>
      </c>
      <c r="I171" t="s">
        <v>32</v>
      </c>
      <c r="J171">
        <v>0</v>
      </c>
      <c r="M171" t="s">
        <v>37</v>
      </c>
      <c r="N171">
        <v>20</v>
      </c>
      <c r="R171" t="s">
        <v>38</v>
      </c>
      <c r="S171">
        <v>27</v>
      </c>
    </row>
    <row r="172" spans="1:19" x14ac:dyDescent="0.25">
      <c r="A172" t="s">
        <v>42</v>
      </c>
      <c r="B172">
        <v>1</v>
      </c>
      <c r="C172" t="s">
        <v>30</v>
      </c>
      <c r="D172" t="s">
        <v>43</v>
      </c>
      <c r="E172" s="2">
        <v>0</v>
      </c>
      <c r="F172">
        <v>0</v>
      </c>
      <c r="G172">
        <v>0</v>
      </c>
      <c r="H172">
        <v>0</v>
      </c>
      <c r="I172" t="s">
        <v>32</v>
      </c>
      <c r="J172">
        <v>0</v>
      </c>
      <c r="M172" t="s">
        <v>37</v>
      </c>
      <c r="N172">
        <v>76</v>
      </c>
      <c r="R172" t="s">
        <v>38</v>
      </c>
      <c r="S172">
        <v>18</v>
      </c>
    </row>
    <row r="173" spans="1:19" x14ac:dyDescent="0.25">
      <c r="A173" t="s">
        <v>42</v>
      </c>
      <c r="B173">
        <v>1</v>
      </c>
      <c r="C173" t="s">
        <v>30</v>
      </c>
      <c r="D173" t="s">
        <v>43</v>
      </c>
      <c r="E173" s="2">
        <v>0</v>
      </c>
      <c r="F173">
        <v>0</v>
      </c>
      <c r="G173">
        <v>0</v>
      </c>
      <c r="H173">
        <v>0</v>
      </c>
      <c r="I173" t="s">
        <v>32</v>
      </c>
      <c r="J173">
        <v>0</v>
      </c>
      <c r="M173" t="s">
        <v>37</v>
      </c>
      <c r="N173">
        <v>44</v>
      </c>
      <c r="R173" t="s">
        <v>38</v>
      </c>
      <c r="S173">
        <v>0</v>
      </c>
    </row>
    <row r="174" spans="1:19" x14ac:dyDescent="0.25">
      <c r="A174" t="s">
        <v>42</v>
      </c>
      <c r="B174">
        <v>1</v>
      </c>
      <c r="C174" t="s">
        <v>30</v>
      </c>
      <c r="D174" t="s">
        <v>43</v>
      </c>
      <c r="E174" s="2">
        <v>0</v>
      </c>
      <c r="F174">
        <v>0</v>
      </c>
      <c r="G174">
        <v>0</v>
      </c>
      <c r="H174">
        <v>0</v>
      </c>
      <c r="I174" t="s">
        <v>32</v>
      </c>
      <c r="J174">
        <v>0</v>
      </c>
      <c r="M174" t="s">
        <v>37</v>
      </c>
      <c r="N174">
        <v>31</v>
      </c>
      <c r="R174" t="s">
        <v>38</v>
      </c>
      <c r="S174">
        <v>0</v>
      </c>
    </row>
    <row r="175" spans="1:19" x14ac:dyDescent="0.25">
      <c r="A175" t="s">
        <v>42</v>
      </c>
      <c r="B175">
        <v>1</v>
      </c>
      <c r="C175" t="s">
        <v>34</v>
      </c>
      <c r="D175" t="s">
        <v>44</v>
      </c>
      <c r="E175" s="2">
        <v>0</v>
      </c>
      <c r="F175">
        <v>0</v>
      </c>
      <c r="G175">
        <v>0</v>
      </c>
      <c r="H175">
        <v>0</v>
      </c>
      <c r="I175" t="s">
        <v>32</v>
      </c>
      <c r="J175">
        <v>0</v>
      </c>
      <c r="M175" t="s">
        <v>37</v>
      </c>
      <c r="N175">
        <v>24</v>
      </c>
      <c r="R175" t="s">
        <v>38</v>
      </c>
      <c r="S175">
        <v>80</v>
      </c>
    </row>
    <row r="176" spans="1:19" x14ac:dyDescent="0.25">
      <c r="A176" t="s">
        <v>42</v>
      </c>
      <c r="B176">
        <v>1</v>
      </c>
      <c r="C176" t="s">
        <v>34</v>
      </c>
      <c r="D176" t="s">
        <v>44</v>
      </c>
      <c r="E176" s="2">
        <v>0</v>
      </c>
      <c r="F176">
        <v>0</v>
      </c>
      <c r="G176">
        <v>0</v>
      </c>
      <c r="H176">
        <v>0</v>
      </c>
      <c r="I176" t="s">
        <v>32</v>
      </c>
      <c r="J176">
        <v>0</v>
      </c>
      <c r="M176" t="s">
        <v>37</v>
      </c>
      <c r="N176">
        <v>71</v>
      </c>
      <c r="R176" t="s">
        <v>38</v>
      </c>
      <c r="S176">
        <v>70</v>
      </c>
    </row>
    <row r="177" spans="1:19" x14ac:dyDescent="0.25">
      <c r="A177" t="s">
        <v>42</v>
      </c>
      <c r="B177">
        <v>1</v>
      </c>
      <c r="C177" t="s">
        <v>34</v>
      </c>
      <c r="D177" t="s">
        <v>44</v>
      </c>
      <c r="E177" s="2">
        <v>0</v>
      </c>
      <c r="F177">
        <v>0</v>
      </c>
      <c r="G177">
        <v>0</v>
      </c>
      <c r="H177">
        <v>0</v>
      </c>
      <c r="I177" t="s">
        <v>32</v>
      </c>
      <c r="J177">
        <v>0</v>
      </c>
      <c r="M177" t="s">
        <v>37</v>
      </c>
      <c r="N177">
        <v>14</v>
      </c>
      <c r="R177" t="s">
        <v>38</v>
      </c>
      <c r="S177">
        <v>7</v>
      </c>
    </row>
    <row r="178" spans="1:19" x14ac:dyDescent="0.25">
      <c r="A178" t="s">
        <v>42</v>
      </c>
      <c r="B178">
        <v>1</v>
      </c>
      <c r="C178" t="s">
        <v>34</v>
      </c>
      <c r="D178" t="s">
        <v>44</v>
      </c>
      <c r="E178" s="2">
        <v>0</v>
      </c>
      <c r="F178">
        <v>0</v>
      </c>
      <c r="G178">
        <v>0</v>
      </c>
      <c r="H178">
        <v>0</v>
      </c>
      <c r="I178" t="s">
        <v>32</v>
      </c>
      <c r="J178">
        <v>0</v>
      </c>
      <c r="M178" t="s">
        <v>37</v>
      </c>
      <c r="N178">
        <v>66</v>
      </c>
      <c r="R178" t="s">
        <v>38</v>
      </c>
      <c r="S178">
        <v>12</v>
      </c>
    </row>
    <row r="179" spans="1:19" x14ac:dyDescent="0.25">
      <c r="A179" t="s">
        <v>42</v>
      </c>
      <c r="B179">
        <v>1</v>
      </c>
      <c r="C179" t="s">
        <v>34</v>
      </c>
      <c r="D179" t="s">
        <v>44</v>
      </c>
      <c r="E179" s="2">
        <v>0</v>
      </c>
      <c r="F179">
        <v>0</v>
      </c>
      <c r="G179">
        <v>0</v>
      </c>
      <c r="H179">
        <v>0</v>
      </c>
      <c r="I179" t="s">
        <v>32</v>
      </c>
      <c r="J179">
        <v>0</v>
      </c>
      <c r="M179" t="s">
        <v>37</v>
      </c>
      <c r="N179">
        <v>0</v>
      </c>
      <c r="R179" t="s">
        <v>38</v>
      </c>
      <c r="S179">
        <v>33</v>
      </c>
    </row>
    <row r="180" spans="1:19" x14ac:dyDescent="0.25">
      <c r="A180" t="s">
        <v>42</v>
      </c>
      <c r="B180">
        <v>1</v>
      </c>
      <c r="C180" t="s">
        <v>34</v>
      </c>
      <c r="D180" t="s">
        <v>44</v>
      </c>
      <c r="E180" s="2">
        <v>0</v>
      </c>
      <c r="F180">
        <v>0</v>
      </c>
      <c r="G180">
        <v>0</v>
      </c>
      <c r="H180">
        <v>0</v>
      </c>
      <c r="I180" t="s">
        <v>32</v>
      </c>
      <c r="J180">
        <v>0</v>
      </c>
      <c r="M180" t="s">
        <v>37</v>
      </c>
      <c r="N180">
        <v>9</v>
      </c>
      <c r="R180" t="s">
        <v>38</v>
      </c>
      <c r="S180">
        <v>11</v>
      </c>
    </row>
    <row r="181" spans="1:19" x14ac:dyDescent="0.25">
      <c r="A181" t="s">
        <v>42</v>
      </c>
      <c r="B181">
        <v>1</v>
      </c>
      <c r="C181" t="s">
        <v>34</v>
      </c>
      <c r="D181" t="s">
        <v>44</v>
      </c>
      <c r="E181" s="2">
        <v>0</v>
      </c>
      <c r="F181">
        <v>0</v>
      </c>
      <c r="G181">
        <v>0</v>
      </c>
      <c r="H181">
        <v>0</v>
      </c>
      <c r="I181" t="s">
        <v>32</v>
      </c>
      <c r="J181">
        <v>0</v>
      </c>
      <c r="M181" t="s">
        <v>37</v>
      </c>
      <c r="N181">
        <v>0</v>
      </c>
      <c r="R181" t="s">
        <v>38</v>
      </c>
      <c r="S181">
        <v>4</v>
      </c>
    </row>
    <row r="182" spans="1:19" x14ac:dyDescent="0.25">
      <c r="A182" t="s">
        <v>42</v>
      </c>
      <c r="B182">
        <v>1</v>
      </c>
      <c r="C182" t="s">
        <v>34</v>
      </c>
      <c r="D182" t="s">
        <v>44</v>
      </c>
      <c r="E182" s="2">
        <v>0</v>
      </c>
      <c r="F182">
        <v>0</v>
      </c>
      <c r="G182">
        <v>0</v>
      </c>
      <c r="H182">
        <v>0</v>
      </c>
      <c r="I182" t="s">
        <v>32</v>
      </c>
      <c r="J182">
        <v>0</v>
      </c>
      <c r="M182" t="s">
        <v>37</v>
      </c>
      <c r="N182">
        <v>0</v>
      </c>
      <c r="R182" t="s">
        <v>38</v>
      </c>
      <c r="S182">
        <v>26</v>
      </c>
    </row>
    <row r="183" spans="1:19" x14ac:dyDescent="0.25">
      <c r="A183" t="s">
        <v>42</v>
      </c>
      <c r="B183">
        <v>1</v>
      </c>
      <c r="C183" t="s">
        <v>34</v>
      </c>
      <c r="D183" t="s">
        <v>44</v>
      </c>
      <c r="E183" s="2">
        <v>0</v>
      </c>
      <c r="F183">
        <v>0</v>
      </c>
      <c r="G183">
        <v>0</v>
      </c>
      <c r="H183">
        <v>0</v>
      </c>
      <c r="I183" t="s">
        <v>32</v>
      </c>
      <c r="J183">
        <v>0</v>
      </c>
      <c r="M183" t="s">
        <v>37</v>
      </c>
      <c r="N183">
        <v>24</v>
      </c>
      <c r="R183" t="s">
        <v>38</v>
      </c>
      <c r="S183">
        <v>41</v>
      </c>
    </row>
    <row r="184" spans="1:19" x14ac:dyDescent="0.25">
      <c r="A184" t="s">
        <v>42</v>
      </c>
      <c r="B184">
        <v>1</v>
      </c>
      <c r="C184" t="s">
        <v>34</v>
      </c>
      <c r="D184" t="s">
        <v>44</v>
      </c>
      <c r="E184" s="2">
        <v>0</v>
      </c>
      <c r="F184">
        <v>0</v>
      </c>
      <c r="G184">
        <v>0</v>
      </c>
      <c r="H184">
        <v>0</v>
      </c>
      <c r="I184" t="s">
        <v>32</v>
      </c>
      <c r="J184">
        <v>0</v>
      </c>
      <c r="M184" t="s">
        <v>37</v>
      </c>
      <c r="N184">
        <v>20</v>
      </c>
      <c r="R184" t="s">
        <v>38</v>
      </c>
      <c r="S184">
        <v>22</v>
      </c>
    </row>
    <row r="185" spans="1:19" x14ac:dyDescent="0.25">
      <c r="A185" t="s">
        <v>42</v>
      </c>
      <c r="B185">
        <v>1</v>
      </c>
      <c r="C185" t="s">
        <v>34</v>
      </c>
      <c r="D185" t="s">
        <v>44</v>
      </c>
      <c r="E185" s="2">
        <v>0</v>
      </c>
      <c r="F185">
        <v>0</v>
      </c>
      <c r="G185">
        <v>0</v>
      </c>
      <c r="H185">
        <v>0</v>
      </c>
      <c r="I185" t="s">
        <v>32</v>
      </c>
      <c r="J185">
        <v>0</v>
      </c>
      <c r="M185" t="s">
        <v>37</v>
      </c>
      <c r="N185">
        <v>69</v>
      </c>
      <c r="R185" t="s">
        <v>38</v>
      </c>
      <c r="S185">
        <v>6</v>
      </c>
    </row>
    <row r="186" spans="1:19" x14ac:dyDescent="0.25">
      <c r="A186" t="s">
        <v>42</v>
      </c>
      <c r="B186">
        <v>1</v>
      </c>
      <c r="C186" t="s">
        <v>34</v>
      </c>
      <c r="D186" t="s">
        <v>44</v>
      </c>
      <c r="E186" s="2">
        <v>0</v>
      </c>
      <c r="F186">
        <v>0</v>
      </c>
      <c r="G186">
        <v>0</v>
      </c>
      <c r="H186">
        <v>0</v>
      </c>
      <c r="I186" t="s">
        <v>32</v>
      </c>
      <c r="J186">
        <v>0</v>
      </c>
      <c r="M186" t="s">
        <v>37</v>
      </c>
      <c r="N186">
        <v>28</v>
      </c>
      <c r="R186" t="s">
        <v>38</v>
      </c>
      <c r="S186">
        <v>33</v>
      </c>
    </row>
    <row r="187" spans="1:19" x14ac:dyDescent="0.25">
      <c r="A187" t="s">
        <v>42</v>
      </c>
      <c r="B187">
        <v>1</v>
      </c>
      <c r="C187" t="s">
        <v>34</v>
      </c>
      <c r="D187" t="s">
        <v>44</v>
      </c>
      <c r="E187" s="2">
        <v>0</v>
      </c>
      <c r="F187">
        <v>0</v>
      </c>
      <c r="G187">
        <v>0</v>
      </c>
      <c r="H187">
        <v>0</v>
      </c>
      <c r="I187" t="s">
        <v>32</v>
      </c>
      <c r="J187">
        <v>0</v>
      </c>
      <c r="M187" t="s">
        <v>37</v>
      </c>
      <c r="N187">
        <v>42</v>
      </c>
      <c r="R187" t="s">
        <v>38</v>
      </c>
      <c r="S187">
        <v>6</v>
      </c>
    </row>
    <row r="188" spans="1:19" x14ac:dyDescent="0.25">
      <c r="A188" t="s">
        <v>42</v>
      </c>
      <c r="B188">
        <v>1</v>
      </c>
      <c r="C188" t="s">
        <v>34</v>
      </c>
      <c r="D188" t="s">
        <v>44</v>
      </c>
      <c r="E188" s="2">
        <v>0</v>
      </c>
      <c r="F188">
        <v>0</v>
      </c>
      <c r="G188">
        <v>0</v>
      </c>
      <c r="H188">
        <v>0</v>
      </c>
      <c r="I188" t="s">
        <v>32</v>
      </c>
      <c r="J188">
        <v>0</v>
      </c>
      <c r="M188" t="s">
        <v>37</v>
      </c>
      <c r="N188">
        <v>14</v>
      </c>
      <c r="R188" t="s">
        <v>38</v>
      </c>
      <c r="S188">
        <v>0</v>
      </c>
    </row>
    <row r="189" spans="1:19" x14ac:dyDescent="0.25">
      <c r="A189" t="s">
        <v>42</v>
      </c>
      <c r="B189">
        <v>1</v>
      </c>
      <c r="C189" t="s">
        <v>34</v>
      </c>
      <c r="D189" t="s">
        <v>44</v>
      </c>
      <c r="E189" s="2">
        <v>0</v>
      </c>
      <c r="F189">
        <v>0</v>
      </c>
      <c r="G189">
        <v>0</v>
      </c>
      <c r="H189">
        <v>0</v>
      </c>
      <c r="I189" t="s">
        <v>32</v>
      </c>
      <c r="J189">
        <v>0</v>
      </c>
      <c r="M189" t="s">
        <v>37</v>
      </c>
      <c r="N189">
        <v>42</v>
      </c>
      <c r="R189" t="s">
        <v>38</v>
      </c>
      <c r="S189">
        <v>9</v>
      </c>
    </row>
    <row r="190" spans="1:19" x14ac:dyDescent="0.25">
      <c r="A190" t="s">
        <v>42</v>
      </c>
      <c r="B190">
        <v>1</v>
      </c>
      <c r="C190" t="s">
        <v>34</v>
      </c>
      <c r="D190" t="s">
        <v>44</v>
      </c>
      <c r="E190" s="2">
        <v>0</v>
      </c>
      <c r="F190">
        <v>0</v>
      </c>
      <c r="G190">
        <v>0</v>
      </c>
      <c r="H190">
        <v>0</v>
      </c>
      <c r="I190" t="s">
        <v>32</v>
      </c>
      <c r="J190">
        <v>0</v>
      </c>
      <c r="M190" t="s">
        <v>37</v>
      </c>
      <c r="N190">
        <v>46</v>
      </c>
      <c r="R190" t="s">
        <v>38</v>
      </c>
      <c r="S190">
        <v>66</v>
      </c>
    </row>
    <row r="191" spans="1:19" x14ac:dyDescent="0.25">
      <c r="A191" t="s">
        <v>42</v>
      </c>
      <c r="B191">
        <v>1</v>
      </c>
      <c r="C191" t="s">
        <v>34</v>
      </c>
      <c r="D191" t="s">
        <v>44</v>
      </c>
      <c r="E191" s="2">
        <v>0</v>
      </c>
      <c r="F191">
        <v>0</v>
      </c>
      <c r="G191">
        <v>0</v>
      </c>
      <c r="H191">
        <v>0</v>
      </c>
      <c r="I191" t="s">
        <v>32</v>
      </c>
      <c r="J191">
        <v>0</v>
      </c>
      <c r="M191" t="s">
        <v>39</v>
      </c>
      <c r="N191">
        <v>0</v>
      </c>
      <c r="R191" t="s">
        <v>38</v>
      </c>
      <c r="S191">
        <v>7</v>
      </c>
    </row>
    <row r="192" spans="1:19" x14ac:dyDescent="0.25">
      <c r="A192" t="s">
        <v>42</v>
      </c>
      <c r="B192">
        <v>1</v>
      </c>
      <c r="C192" t="s">
        <v>34</v>
      </c>
      <c r="D192" t="s">
        <v>44</v>
      </c>
      <c r="E192" s="2">
        <v>0</v>
      </c>
      <c r="F192">
        <v>0</v>
      </c>
      <c r="G192">
        <v>0</v>
      </c>
      <c r="H192">
        <v>0</v>
      </c>
      <c r="I192" t="s">
        <v>32</v>
      </c>
      <c r="J192">
        <v>0</v>
      </c>
      <c r="M192" t="s">
        <v>39</v>
      </c>
      <c r="N192">
        <v>16</v>
      </c>
      <c r="R192" t="s">
        <v>38</v>
      </c>
      <c r="S192">
        <v>4</v>
      </c>
    </row>
    <row r="193" spans="1:19" x14ac:dyDescent="0.25">
      <c r="A193" t="s">
        <v>42</v>
      </c>
      <c r="B193">
        <v>1</v>
      </c>
      <c r="C193" t="s">
        <v>34</v>
      </c>
      <c r="D193" t="s">
        <v>44</v>
      </c>
      <c r="E193" s="2">
        <v>0</v>
      </c>
      <c r="F193">
        <v>0</v>
      </c>
      <c r="G193">
        <v>0</v>
      </c>
      <c r="H193">
        <v>0</v>
      </c>
      <c r="I193" t="s">
        <v>32</v>
      </c>
      <c r="J193">
        <v>0</v>
      </c>
      <c r="M193" t="s">
        <v>39</v>
      </c>
      <c r="N193">
        <v>0</v>
      </c>
      <c r="R193" t="s">
        <v>38</v>
      </c>
      <c r="S193">
        <v>0</v>
      </c>
    </row>
    <row r="194" spans="1:19" x14ac:dyDescent="0.25">
      <c r="A194" t="s">
        <v>42</v>
      </c>
      <c r="B194">
        <v>1</v>
      </c>
      <c r="C194" t="s">
        <v>34</v>
      </c>
      <c r="D194" t="s">
        <v>44</v>
      </c>
      <c r="E194" s="2">
        <v>0</v>
      </c>
      <c r="F194">
        <v>0</v>
      </c>
      <c r="G194">
        <v>0</v>
      </c>
      <c r="H194">
        <v>0</v>
      </c>
      <c r="I194" t="s">
        <v>32</v>
      </c>
      <c r="J194">
        <v>0</v>
      </c>
      <c r="M194" t="s">
        <v>39</v>
      </c>
      <c r="N194">
        <v>24</v>
      </c>
      <c r="R194" t="s">
        <v>38</v>
      </c>
      <c r="S194">
        <v>0</v>
      </c>
    </row>
    <row r="195" spans="1:19" x14ac:dyDescent="0.25">
      <c r="A195" t="s">
        <v>42</v>
      </c>
      <c r="B195">
        <v>1</v>
      </c>
      <c r="C195" t="s">
        <v>34</v>
      </c>
      <c r="D195" t="s">
        <v>44</v>
      </c>
      <c r="E195" s="2">
        <v>0</v>
      </c>
      <c r="F195">
        <v>0</v>
      </c>
      <c r="G195">
        <v>0</v>
      </c>
      <c r="H195">
        <v>0</v>
      </c>
      <c r="I195" t="s">
        <v>32</v>
      </c>
      <c r="J195">
        <v>0</v>
      </c>
      <c r="M195" t="s">
        <v>39</v>
      </c>
      <c r="N195">
        <v>13</v>
      </c>
      <c r="R195" t="s">
        <v>38</v>
      </c>
      <c r="S195">
        <v>22</v>
      </c>
    </row>
    <row r="196" spans="1:19" x14ac:dyDescent="0.25">
      <c r="A196" t="s">
        <v>42</v>
      </c>
      <c r="B196">
        <v>1</v>
      </c>
      <c r="C196" t="s">
        <v>34</v>
      </c>
      <c r="D196" t="s">
        <v>44</v>
      </c>
      <c r="E196" s="2">
        <v>0</v>
      </c>
      <c r="F196">
        <v>0</v>
      </c>
      <c r="G196">
        <v>0</v>
      </c>
      <c r="H196">
        <v>0</v>
      </c>
      <c r="I196" t="s">
        <v>32</v>
      </c>
      <c r="J196">
        <v>0</v>
      </c>
      <c r="M196" t="s">
        <v>39</v>
      </c>
      <c r="N196">
        <v>17</v>
      </c>
      <c r="R196" t="s">
        <v>40</v>
      </c>
      <c r="S196">
        <v>7</v>
      </c>
    </row>
    <row r="197" spans="1:19" x14ac:dyDescent="0.25">
      <c r="A197" t="s">
        <v>42</v>
      </c>
      <c r="B197">
        <v>1</v>
      </c>
      <c r="C197" t="s">
        <v>34</v>
      </c>
      <c r="D197" t="s">
        <v>44</v>
      </c>
      <c r="E197" s="2">
        <v>0</v>
      </c>
      <c r="F197">
        <v>0</v>
      </c>
      <c r="G197">
        <v>0</v>
      </c>
      <c r="H197">
        <v>0</v>
      </c>
      <c r="I197" t="s">
        <v>32</v>
      </c>
      <c r="J197">
        <v>0</v>
      </c>
      <c r="M197" t="s">
        <v>39</v>
      </c>
      <c r="N197">
        <v>17</v>
      </c>
      <c r="R197" t="s">
        <v>40</v>
      </c>
      <c r="S197">
        <v>0</v>
      </c>
    </row>
    <row r="198" spans="1:19" x14ac:dyDescent="0.25">
      <c r="A198" t="s">
        <v>42</v>
      </c>
      <c r="B198">
        <v>1</v>
      </c>
      <c r="C198" t="s">
        <v>34</v>
      </c>
      <c r="D198" t="s">
        <v>44</v>
      </c>
      <c r="E198" s="2">
        <v>0</v>
      </c>
      <c r="F198">
        <v>0</v>
      </c>
      <c r="G198">
        <v>0</v>
      </c>
      <c r="H198">
        <v>0</v>
      </c>
      <c r="I198" t="s">
        <v>32</v>
      </c>
      <c r="J198">
        <v>0</v>
      </c>
      <c r="M198" t="s">
        <v>39</v>
      </c>
      <c r="N198">
        <v>0</v>
      </c>
      <c r="R198" t="s">
        <v>40</v>
      </c>
      <c r="S198">
        <v>12</v>
      </c>
    </row>
    <row r="199" spans="1:19" x14ac:dyDescent="0.25">
      <c r="A199" t="s">
        <v>42</v>
      </c>
      <c r="B199">
        <v>1</v>
      </c>
      <c r="C199" t="s">
        <v>34</v>
      </c>
      <c r="D199" t="s">
        <v>44</v>
      </c>
      <c r="E199" s="2">
        <v>0</v>
      </c>
      <c r="F199">
        <v>0</v>
      </c>
      <c r="G199">
        <v>0</v>
      </c>
      <c r="H199">
        <v>0</v>
      </c>
      <c r="I199" t="s">
        <v>32</v>
      </c>
      <c r="J199">
        <v>0</v>
      </c>
      <c r="M199" t="s">
        <v>39</v>
      </c>
      <c r="N199">
        <v>17</v>
      </c>
      <c r="R199" t="s">
        <v>40</v>
      </c>
      <c r="S199">
        <v>0</v>
      </c>
    </row>
    <row r="200" spans="1:19" x14ac:dyDescent="0.25">
      <c r="A200" t="s">
        <v>42</v>
      </c>
      <c r="B200">
        <v>1</v>
      </c>
      <c r="C200" t="s">
        <v>34</v>
      </c>
      <c r="D200" t="s">
        <v>44</v>
      </c>
      <c r="E200" s="2">
        <v>0</v>
      </c>
      <c r="F200">
        <v>0</v>
      </c>
      <c r="G200">
        <v>0</v>
      </c>
      <c r="H200">
        <v>0</v>
      </c>
      <c r="I200" t="s">
        <v>32</v>
      </c>
      <c r="J200">
        <v>0</v>
      </c>
      <c r="M200" t="s">
        <v>39</v>
      </c>
      <c r="N200">
        <v>0</v>
      </c>
      <c r="R200" t="s">
        <v>40</v>
      </c>
      <c r="S200">
        <v>0</v>
      </c>
    </row>
    <row r="201" spans="1:19" x14ac:dyDescent="0.25">
      <c r="A201" t="s">
        <v>42</v>
      </c>
      <c r="B201">
        <v>1</v>
      </c>
      <c r="C201" t="s">
        <v>34</v>
      </c>
      <c r="D201" t="s">
        <v>44</v>
      </c>
      <c r="E201" s="2">
        <v>0</v>
      </c>
      <c r="F201">
        <v>0</v>
      </c>
      <c r="G201">
        <v>0</v>
      </c>
      <c r="H201">
        <v>0</v>
      </c>
      <c r="I201" t="s">
        <v>32</v>
      </c>
      <c r="J201">
        <v>0</v>
      </c>
      <c r="M201" t="s">
        <v>39</v>
      </c>
      <c r="N201">
        <v>0</v>
      </c>
      <c r="R201" t="s">
        <v>40</v>
      </c>
      <c r="S201">
        <v>0</v>
      </c>
    </row>
    <row r="202" spans="1:19" x14ac:dyDescent="0.25">
      <c r="A202" t="s">
        <v>42</v>
      </c>
      <c r="B202">
        <v>1</v>
      </c>
      <c r="C202" t="s">
        <v>34</v>
      </c>
      <c r="D202" t="s">
        <v>44</v>
      </c>
      <c r="E202" s="2">
        <v>0</v>
      </c>
      <c r="F202">
        <v>0</v>
      </c>
      <c r="G202">
        <v>0</v>
      </c>
      <c r="H202">
        <v>0</v>
      </c>
      <c r="I202" t="s">
        <v>32</v>
      </c>
      <c r="J202">
        <v>0</v>
      </c>
      <c r="M202" t="s">
        <v>39</v>
      </c>
      <c r="N202">
        <v>5</v>
      </c>
      <c r="R202" t="s">
        <v>40</v>
      </c>
      <c r="S202">
        <v>32</v>
      </c>
    </row>
    <row r="203" spans="1:19" x14ac:dyDescent="0.25">
      <c r="A203" t="s">
        <v>42</v>
      </c>
      <c r="B203">
        <v>1</v>
      </c>
      <c r="C203" t="s">
        <v>34</v>
      </c>
      <c r="D203" t="s">
        <v>44</v>
      </c>
      <c r="E203" s="2">
        <v>0</v>
      </c>
      <c r="F203">
        <v>0</v>
      </c>
      <c r="G203">
        <v>0</v>
      </c>
      <c r="H203">
        <v>0</v>
      </c>
      <c r="I203" t="s">
        <v>32</v>
      </c>
      <c r="J203">
        <v>0</v>
      </c>
      <c r="M203" t="s">
        <v>39</v>
      </c>
      <c r="N203">
        <v>23</v>
      </c>
      <c r="R203" t="s">
        <v>40</v>
      </c>
      <c r="S203">
        <v>0</v>
      </c>
    </row>
    <row r="204" spans="1:19" x14ac:dyDescent="0.25">
      <c r="A204" t="s">
        <v>42</v>
      </c>
      <c r="B204">
        <v>1</v>
      </c>
      <c r="C204" t="s">
        <v>34</v>
      </c>
      <c r="D204" t="s">
        <v>44</v>
      </c>
      <c r="E204" s="2">
        <v>0</v>
      </c>
      <c r="F204">
        <v>0</v>
      </c>
      <c r="G204">
        <v>0</v>
      </c>
      <c r="H204">
        <v>0</v>
      </c>
      <c r="I204" t="s">
        <v>32</v>
      </c>
      <c r="J204">
        <v>0</v>
      </c>
      <c r="M204" t="s">
        <v>39</v>
      </c>
      <c r="N204">
        <v>23</v>
      </c>
      <c r="R204" t="s">
        <v>40</v>
      </c>
      <c r="S204">
        <v>14</v>
      </c>
    </row>
    <row r="205" spans="1:19" x14ac:dyDescent="0.25">
      <c r="A205" t="s">
        <v>42</v>
      </c>
      <c r="B205">
        <v>1</v>
      </c>
      <c r="C205" t="s">
        <v>34</v>
      </c>
      <c r="D205" t="s">
        <v>44</v>
      </c>
      <c r="E205" s="2">
        <v>0</v>
      </c>
      <c r="F205">
        <v>0</v>
      </c>
      <c r="G205">
        <v>0</v>
      </c>
      <c r="H205">
        <v>0</v>
      </c>
      <c r="I205" t="s">
        <v>32</v>
      </c>
      <c r="J205">
        <v>0</v>
      </c>
      <c r="M205" t="s">
        <v>39</v>
      </c>
      <c r="N205">
        <v>30</v>
      </c>
      <c r="R205" t="s">
        <v>40</v>
      </c>
      <c r="S205">
        <v>5</v>
      </c>
    </row>
    <row r="206" spans="1:19" x14ac:dyDescent="0.25">
      <c r="A206" t="s">
        <v>42</v>
      </c>
      <c r="B206">
        <v>1</v>
      </c>
      <c r="C206" t="s">
        <v>34</v>
      </c>
      <c r="D206" t="s">
        <v>44</v>
      </c>
      <c r="E206" s="2">
        <v>0</v>
      </c>
      <c r="F206">
        <v>0</v>
      </c>
      <c r="G206">
        <v>0</v>
      </c>
      <c r="H206">
        <v>0</v>
      </c>
      <c r="I206" t="s">
        <v>32</v>
      </c>
      <c r="J206">
        <v>0</v>
      </c>
      <c r="M206" t="s">
        <v>39</v>
      </c>
      <c r="N206">
        <v>0</v>
      </c>
      <c r="R206" t="s">
        <v>40</v>
      </c>
      <c r="S206">
        <v>26</v>
      </c>
    </row>
    <row r="207" spans="1:19" x14ac:dyDescent="0.25">
      <c r="A207" t="s">
        <v>42</v>
      </c>
      <c r="B207">
        <v>1</v>
      </c>
      <c r="C207" t="s">
        <v>34</v>
      </c>
      <c r="D207" t="s">
        <v>44</v>
      </c>
      <c r="E207" s="2">
        <v>0</v>
      </c>
      <c r="F207">
        <v>0</v>
      </c>
      <c r="G207">
        <v>0</v>
      </c>
      <c r="H207">
        <v>0</v>
      </c>
      <c r="I207" t="s">
        <v>32</v>
      </c>
      <c r="J207">
        <v>0</v>
      </c>
      <c r="M207" t="s">
        <v>39</v>
      </c>
      <c r="N207">
        <v>8</v>
      </c>
      <c r="R207" t="s">
        <v>40</v>
      </c>
      <c r="S207">
        <v>0</v>
      </c>
    </row>
    <row r="208" spans="1:19" x14ac:dyDescent="0.25">
      <c r="A208" t="s">
        <v>42</v>
      </c>
      <c r="B208">
        <v>1</v>
      </c>
      <c r="C208" t="s">
        <v>34</v>
      </c>
      <c r="D208" t="s">
        <v>44</v>
      </c>
      <c r="E208" s="2">
        <v>0</v>
      </c>
      <c r="F208">
        <v>0</v>
      </c>
      <c r="G208">
        <v>0</v>
      </c>
      <c r="H208">
        <v>0</v>
      </c>
      <c r="I208" t="s">
        <v>32</v>
      </c>
      <c r="J208">
        <v>0</v>
      </c>
      <c r="M208" t="s">
        <v>39</v>
      </c>
      <c r="N208">
        <v>8</v>
      </c>
      <c r="R208" t="s">
        <v>40</v>
      </c>
      <c r="S208">
        <v>8</v>
      </c>
    </row>
    <row r="209" spans="1:19" x14ac:dyDescent="0.25">
      <c r="A209" t="s">
        <v>42</v>
      </c>
      <c r="B209">
        <v>1</v>
      </c>
      <c r="C209" t="s">
        <v>34</v>
      </c>
      <c r="D209" t="s">
        <v>44</v>
      </c>
      <c r="E209" s="2">
        <v>0</v>
      </c>
      <c r="F209">
        <v>0</v>
      </c>
      <c r="G209">
        <v>0</v>
      </c>
      <c r="H209">
        <v>0</v>
      </c>
      <c r="I209" t="s">
        <v>32</v>
      </c>
      <c r="J209">
        <v>0</v>
      </c>
      <c r="M209" t="s">
        <v>39</v>
      </c>
      <c r="N209">
        <v>0</v>
      </c>
      <c r="R209" t="s">
        <v>40</v>
      </c>
      <c r="S209">
        <v>0</v>
      </c>
    </row>
    <row r="210" spans="1:19" x14ac:dyDescent="0.25">
      <c r="A210" t="s">
        <v>42</v>
      </c>
      <c r="B210">
        <v>1</v>
      </c>
      <c r="C210" t="s">
        <v>34</v>
      </c>
      <c r="D210" t="s">
        <v>44</v>
      </c>
      <c r="E210" s="2">
        <v>0</v>
      </c>
      <c r="F210">
        <v>0</v>
      </c>
      <c r="G210">
        <v>0</v>
      </c>
      <c r="H210">
        <v>0</v>
      </c>
      <c r="I210" t="s">
        <v>32</v>
      </c>
      <c r="J210">
        <v>0</v>
      </c>
      <c r="M210" t="s">
        <v>39</v>
      </c>
      <c r="N210">
        <v>18</v>
      </c>
      <c r="R210" t="s">
        <v>40</v>
      </c>
      <c r="S210">
        <v>70</v>
      </c>
    </row>
    <row r="211" spans="1:19" x14ac:dyDescent="0.25">
      <c r="A211" t="s">
        <v>42</v>
      </c>
      <c r="B211">
        <v>1</v>
      </c>
      <c r="C211" t="s">
        <v>34</v>
      </c>
      <c r="D211" t="s">
        <v>44</v>
      </c>
      <c r="E211" s="2">
        <v>0</v>
      </c>
      <c r="F211">
        <v>0</v>
      </c>
      <c r="G211">
        <v>0</v>
      </c>
      <c r="H211">
        <v>0</v>
      </c>
      <c r="I211" t="s">
        <v>32</v>
      </c>
      <c r="J211">
        <v>0</v>
      </c>
      <c r="M211" t="s">
        <v>39</v>
      </c>
      <c r="N211">
        <v>37</v>
      </c>
      <c r="R211" t="s">
        <v>40</v>
      </c>
      <c r="S211">
        <v>57</v>
      </c>
    </row>
    <row r="212" spans="1:19" x14ac:dyDescent="0.25">
      <c r="A212" t="s">
        <v>42</v>
      </c>
      <c r="B212">
        <v>1</v>
      </c>
      <c r="C212" t="s">
        <v>34</v>
      </c>
      <c r="D212" t="s">
        <v>44</v>
      </c>
      <c r="E212" s="2">
        <v>0</v>
      </c>
      <c r="F212">
        <v>0</v>
      </c>
      <c r="G212">
        <v>0</v>
      </c>
      <c r="H212">
        <v>0</v>
      </c>
      <c r="I212" t="s">
        <v>32</v>
      </c>
      <c r="J212">
        <v>0</v>
      </c>
      <c r="M212" t="s">
        <v>39</v>
      </c>
      <c r="N212">
        <v>13</v>
      </c>
      <c r="R212" t="s">
        <v>40</v>
      </c>
      <c r="S212">
        <v>8</v>
      </c>
    </row>
    <row r="213" spans="1:19" x14ac:dyDescent="0.25">
      <c r="A213" t="s">
        <v>42</v>
      </c>
      <c r="B213">
        <v>1</v>
      </c>
      <c r="C213" t="s">
        <v>34</v>
      </c>
      <c r="D213" t="s">
        <v>44</v>
      </c>
      <c r="E213" s="2">
        <v>0</v>
      </c>
      <c r="F213">
        <v>0</v>
      </c>
      <c r="G213">
        <v>0</v>
      </c>
      <c r="H213">
        <v>0</v>
      </c>
      <c r="I213" t="s">
        <v>32</v>
      </c>
      <c r="J213">
        <v>0</v>
      </c>
      <c r="M213" t="s">
        <v>39</v>
      </c>
      <c r="N213">
        <v>6</v>
      </c>
      <c r="R213" t="s">
        <v>40</v>
      </c>
      <c r="S213">
        <v>37</v>
      </c>
    </row>
    <row r="214" spans="1:19" x14ac:dyDescent="0.25">
      <c r="A214" t="s">
        <v>42</v>
      </c>
      <c r="B214">
        <v>1</v>
      </c>
      <c r="C214" t="s">
        <v>34</v>
      </c>
      <c r="D214" t="s">
        <v>44</v>
      </c>
      <c r="E214" s="2">
        <v>0</v>
      </c>
      <c r="F214">
        <v>0</v>
      </c>
      <c r="G214">
        <v>0</v>
      </c>
      <c r="H214">
        <v>0</v>
      </c>
      <c r="I214" t="s">
        <v>32</v>
      </c>
      <c r="J214">
        <v>0</v>
      </c>
      <c r="M214" t="s">
        <v>39</v>
      </c>
      <c r="N214">
        <v>0</v>
      </c>
      <c r="R214" t="s">
        <v>40</v>
      </c>
      <c r="S214">
        <v>0</v>
      </c>
    </row>
    <row r="215" spans="1:19" x14ac:dyDescent="0.25">
      <c r="A215" t="s">
        <v>42</v>
      </c>
      <c r="B215">
        <v>1</v>
      </c>
      <c r="C215" t="s">
        <v>34</v>
      </c>
      <c r="D215" t="s">
        <v>44</v>
      </c>
      <c r="E215" s="2">
        <v>0</v>
      </c>
      <c r="F215">
        <v>0</v>
      </c>
      <c r="G215">
        <v>0</v>
      </c>
      <c r="H215">
        <v>0</v>
      </c>
      <c r="I215" t="s">
        <v>32</v>
      </c>
      <c r="J215">
        <v>0</v>
      </c>
      <c r="M215" t="s">
        <v>39</v>
      </c>
      <c r="N215">
        <v>0</v>
      </c>
      <c r="R215" t="s">
        <v>40</v>
      </c>
      <c r="S215">
        <v>16</v>
      </c>
    </row>
    <row r="216" spans="1:19" x14ac:dyDescent="0.25">
      <c r="A216" t="s">
        <v>42</v>
      </c>
      <c r="B216">
        <v>2</v>
      </c>
      <c r="C216" t="s">
        <v>30</v>
      </c>
      <c r="D216" t="s">
        <v>45</v>
      </c>
      <c r="E216" s="2">
        <v>0</v>
      </c>
      <c r="F216">
        <v>0</v>
      </c>
      <c r="G216">
        <v>0</v>
      </c>
      <c r="H216">
        <v>0</v>
      </c>
      <c r="I216" t="s">
        <v>32</v>
      </c>
      <c r="J216">
        <v>0</v>
      </c>
      <c r="M216" t="s">
        <v>39</v>
      </c>
      <c r="N216">
        <v>0</v>
      </c>
      <c r="R216" t="s">
        <v>40</v>
      </c>
      <c r="S216">
        <v>0</v>
      </c>
    </row>
    <row r="217" spans="1:19" x14ac:dyDescent="0.25">
      <c r="A217" t="s">
        <v>42</v>
      </c>
      <c r="B217">
        <v>2</v>
      </c>
      <c r="C217" t="s">
        <v>30</v>
      </c>
      <c r="D217" t="s">
        <v>45</v>
      </c>
      <c r="E217" s="2">
        <v>0</v>
      </c>
      <c r="F217">
        <v>0</v>
      </c>
      <c r="G217">
        <v>0</v>
      </c>
      <c r="H217">
        <v>0</v>
      </c>
      <c r="I217" t="s">
        <v>32</v>
      </c>
      <c r="J217">
        <v>0</v>
      </c>
      <c r="M217" t="s">
        <v>39</v>
      </c>
      <c r="N217">
        <v>0</v>
      </c>
      <c r="R217" t="s">
        <v>40</v>
      </c>
      <c r="S217">
        <v>55</v>
      </c>
    </row>
    <row r="218" spans="1:19" x14ac:dyDescent="0.25">
      <c r="A218" t="s">
        <v>42</v>
      </c>
      <c r="B218">
        <v>2</v>
      </c>
      <c r="C218" t="s">
        <v>30</v>
      </c>
      <c r="D218" t="s">
        <v>45</v>
      </c>
      <c r="E218" s="2">
        <v>0</v>
      </c>
      <c r="F218">
        <v>0</v>
      </c>
      <c r="G218">
        <v>0</v>
      </c>
      <c r="H218">
        <v>0</v>
      </c>
      <c r="I218" t="s">
        <v>32</v>
      </c>
      <c r="J218">
        <v>0</v>
      </c>
      <c r="M218" t="s">
        <v>39</v>
      </c>
      <c r="N218">
        <v>12</v>
      </c>
      <c r="R218" t="s">
        <v>40</v>
      </c>
      <c r="S218">
        <v>45</v>
      </c>
    </row>
    <row r="219" spans="1:19" x14ac:dyDescent="0.25">
      <c r="A219" t="s">
        <v>42</v>
      </c>
      <c r="B219">
        <v>2</v>
      </c>
      <c r="C219" t="s">
        <v>30</v>
      </c>
      <c r="D219" t="s">
        <v>45</v>
      </c>
      <c r="E219" s="2">
        <v>0</v>
      </c>
      <c r="F219">
        <v>0</v>
      </c>
      <c r="G219">
        <v>0</v>
      </c>
      <c r="H219">
        <v>0</v>
      </c>
      <c r="I219" t="s">
        <v>32</v>
      </c>
      <c r="J219">
        <v>0</v>
      </c>
      <c r="M219" t="s">
        <v>39</v>
      </c>
      <c r="N219">
        <v>32</v>
      </c>
      <c r="R219" t="s">
        <v>40</v>
      </c>
      <c r="S219">
        <v>50</v>
      </c>
    </row>
    <row r="220" spans="1:19" x14ac:dyDescent="0.25">
      <c r="A220" t="s">
        <v>42</v>
      </c>
      <c r="B220">
        <v>2</v>
      </c>
      <c r="C220" t="s">
        <v>34</v>
      </c>
      <c r="D220" t="s">
        <v>46</v>
      </c>
      <c r="E220" s="2">
        <v>0</v>
      </c>
      <c r="F220">
        <v>0</v>
      </c>
      <c r="G220">
        <v>0</v>
      </c>
      <c r="H220">
        <v>0</v>
      </c>
      <c r="I220" t="s">
        <v>32</v>
      </c>
      <c r="J220">
        <v>0</v>
      </c>
      <c r="M220" t="s">
        <v>39</v>
      </c>
      <c r="N220">
        <v>7</v>
      </c>
      <c r="R220" t="s">
        <v>40</v>
      </c>
      <c r="S220">
        <v>33</v>
      </c>
    </row>
    <row r="221" spans="1:19" x14ac:dyDescent="0.25">
      <c r="A221" t="s">
        <v>42</v>
      </c>
      <c r="B221">
        <v>2</v>
      </c>
      <c r="C221" t="s">
        <v>34</v>
      </c>
      <c r="D221" t="s">
        <v>46</v>
      </c>
      <c r="E221" s="2">
        <v>0</v>
      </c>
      <c r="F221">
        <v>0</v>
      </c>
      <c r="G221">
        <v>0</v>
      </c>
      <c r="H221">
        <v>0</v>
      </c>
      <c r="I221" t="s">
        <v>32</v>
      </c>
      <c r="J221">
        <v>0</v>
      </c>
      <c r="M221" t="s">
        <v>39</v>
      </c>
      <c r="N221">
        <v>25</v>
      </c>
      <c r="R221" t="s">
        <v>40</v>
      </c>
      <c r="S221">
        <v>0</v>
      </c>
    </row>
    <row r="222" spans="1:19" x14ac:dyDescent="0.25">
      <c r="A222" t="s">
        <v>42</v>
      </c>
      <c r="B222">
        <v>2</v>
      </c>
      <c r="C222" t="s">
        <v>34</v>
      </c>
      <c r="D222" t="s">
        <v>46</v>
      </c>
      <c r="E222" s="2">
        <v>0</v>
      </c>
      <c r="F222">
        <v>0</v>
      </c>
      <c r="G222">
        <v>0</v>
      </c>
      <c r="H222">
        <v>0</v>
      </c>
      <c r="I222" t="s">
        <v>32</v>
      </c>
      <c r="J222">
        <v>0</v>
      </c>
      <c r="M222" t="s">
        <v>39</v>
      </c>
      <c r="N222">
        <v>16</v>
      </c>
      <c r="R222" t="s">
        <v>40</v>
      </c>
      <c r="S222">
        <v>5</v>
      </c>
    </row>
    <row r="223" spans="1:19" x14ac:dyDescent="0.25">
      <c r="A223" t="s">
        <v>42</v>
      </c>
      <c r="B223">
        <v>2</v>
      </c>
      <c r="C223" t="s">
        <v>34</v>
      </c>
      <c r="D223" t="s">
        <v>46</v>
      </c>
      <c r="E223" s="2">
        <v>0</v>
      </c>
      <c r="F223">
        <v>0</v>
      </c>
      <c r="G223">
        <v>0</v>
      </c>
      <c r="H223">
        <v>0</v>
      </c>
      <c r="I223" t="s">
        <v>32</v>
      </c>
      <c r="J223">
        <v>0</v>
      </c>
      <c r="M223" t="s">
        <v>39</v>
      </c>
      <c r="N223">
        <v>13</v>
      </c>
      <c r="R223" t="s">
        <v>40</v>
      </c>
      <c r="S223">
        <v>29</v>
      </c>
    </row>
    <row r="224" spans="1:19" x14ac:dyDescent="0.25">
      <c r="A224" t="s">
        <v>42</v>
      </c>
      <c r="B224">
        <v>2</v>
      </c>
      <c r="C224" t="s">
        <v>34</v>
      </c>
      <c r="D224" t="s">
        <v>46</v>
      </c>
      <c r="E224" s="2">
        <v>0</v>
      </c>
      <c r="F224">
        <v>0</v>
      </c>
      <c r="G224">
        <v>0</v>
      </c>
      <c r="H224">
        <v>0</v>
      </c>
      <c r="I224" t="s">
        <v>32</v>
      </c>
      <c r="J224">
        <v>0</v>
      </c>
      <c r="M224" t="s">
        <v>39</v>
      </c>
      <c r="N224">
        <v>4</v>
      </c>
      <c r="R224" t="s">
        <v>40</v>
      </c>
      <c r="S224">
        <v>0</v>
      </c>
    </row>
    <row r="225" spans="1:19" x14ac:dyDescent="0.25">
      <c r="A225" t="s">
        <v>42</v>
      </c>
      <c r="B225">
        <v>2</v>
      </c>
      <c r="C225" t="s">
        <v>34</v>
      </c>
      <c r="D225" t="s">
        <v>46</v>
      </c>
      <c r="E225" s="2">
        <v>0</v>
      </c>
      <c r="F225">
        <v>0</v>
      </c>
      <c r="G225">
        <v>0</v>
      </c>
      <c r="H225">
        <v>0</v>
      </c>
      <c r="I225" t="s">
        <v>32</v>
      </c>
      <c r="J225">
        <v>0</v>
      </c>
      <c r="M225" t="s">
        <v>39</v>
      </c>
      <c r="N225">
        <v>77</v>
      </c>
      <c r="R225" t="s">
        <v>40</v>
      </c>
      <c r="S225">
        <v>85</v>
      </c>
    </row>
    <row r="226" spans="1:19" x14ac:dyDescent="0.25">
      <c r="A226" t="s">
        <v>42</v>
      </c>
      <c r="B226">
        <v>2</v>
      </c>
      <c r="C226" t="s">
        <v>34</v>
      </c>
      <c r="D226" t="s">
        <v>46</v>
      </c>
      <c r="E226" s="2">
        <v>0</v>
      </c>
      <c r="F226">
        <v>0</v>
      </c>
      <c r="G226">
        <v>0</v>
      </c>
      <c r="H226">
        <v>0</v>
      </c>
      <c r="I226" t="s">
        <v>32</v>
      </c>
      <c r="J226">
        <v>0</v>
      </c>
      <c r="M226" t="s">
        <v>39</v>
      </c>
      <c r="N226">
        <v>34</v>
      </c>
      <c r="R226" t="s">
        <v>40</v>
      </c>
      <c r="S226">
        <v>0</v>
      </c>
    </row>
    <row r="227" spans="1:19" x14ac:dyDescent="0.25">
      <c r="A227" t="s">
        <v>42</v>
      </c>
      <c r="B227">
        <v>2</v>
      </c>
      <c r="C227" t="s">
        <v>34</v>
      </c>
      <c r="D227" t="s">
        <v>46</v>
      </c>
      <c r="E227" s="2">
        <v>0</v>
      </c>
      <c r="F227">
        <v>0</v>
      </c>
      <c r="G227">
        <v>0</v>
      </c>
      <c r="H227">
        <v>0</v>
      </c>
      <c r="I227" t="s">
        <v>32</v>
      </c>
      <c r="J227">
        <v>0</v>
      </c>
      <c r="M227" t="s">
        <v>39</v>
      </c>
      <c r="N227">
        <v>50</v>
      </c>
      <c r="R227" t="s">
        <v>40</v>
      </c>
      <c r="S227">
        <v>0</v>
      </c>
    </row>
    <row r="228" spans="1:19" x14ac:dyDescent="0.25">
      <c r="A228" t="s">
        <v>42</v>
      </c>
      <c r="B228">
        <v>2</v>
      </c>
      <c r="C228" t="s">
        <v>34</v>
      </c>
      <c r="D228" t="s">
        <v>46</v>
      </c>
      <c r="E228" s="2">
        <v>0</v>
      </c>
      <c r="F228">
        <v>0</v>
      </c>
      <c r="G228">
        <v>0</v>
      </c>
      <c r="H228">
        <v>0</v>
      </c>
      <c r="I228" t="s">
        <v>32</v>
      </c>
      <c r="J228">
        <v>0</v>
      </c>
      <c r="M228" t="s">
        <v>39</v>
      </c>
      <c r="N228">
        <v>27</v>
      </c>
      <c r="R228" t="s">
        <v>40</v>
      </c>
      <c r="S228">
        <v>7</v>
      </c>
    </row>
    <row r="229" spans="1:19" x14ac:dyDescent="0.25">
      <c r="A229" t="s">
        <v>42</v>
      </c>
      <c r="B229">
        <v>2</v>
      </c>
      <c r="C229" t="s">
        <v>34</v>
      </c>
      <c r="D229" t="s">
        <v>46</v>
      </c>
      <c r="E229" s="2">
        <v>0</v>
      </c>
      <c r="F229">
        <v>0</v>
      </c>
      <c r="G229">
        <v>0</v>
      </c>
      <c r="H229">
        <v>0</v>
      </c>
      <c r="I229" t="s">
        <v>32</v>
      </c>
      <c r="J229">
        <v>0</v>
      </c>
      <c r="M229" t="s">
        <v>39</v>
      </c>
      <c r="N229">
        <v>48</v>
      </c>
      <c r="R229" t="s">
        <v>40</v>
      </c>
      <c r="S229">
        <v>13</v>
      </c>
    </row>
    <row r="230" spans="1:19" x14ac:dyDescent="0.25">
      <c r="A230" t="s">
        <v>42</v>
      </c>
      <c r="B230">
        <v>2</v>
      </c>
      <c r="C230" t="s">
        <v>34</v>
      </c>
      <c r="D230" t="s">
        <v>46</v>
      </c>
      <c r="E230" s="2">
        <v>0</v>
      </c>
      <c r="F230">
        <v>0</v>
      </c>
      <c r="G230">
        <v>0</v>
      </c>
      <c r="H230">
        <v>0</v>
      </c>
      <c r="I230" t="s">
        <v>32</v>
      </c>
      <c r="J230">
        <v>0</v>
      </c>
      <c r="M230" t="s">
        <v>39</v>
      </c>
      <c r="N230">
        <v>21</v>
      </c>
      <c r="R230" t="s">
        <v>40</v>
      </c>
      <c r="S230">
        <v>13</v>
      </c>
    </row>
    <row r="231" spans="1:19" x14ac:dyDescent="0.25">
      <c r="A231" t="s">
        <v>42</v>
      </c>
      <c r="B231">
        <v>2</v>
      </c>
      <c r="C231" t="s">
        <v>34</v>
      </c>
      <c r="D231" t="s">
        <v>46</v>
      </c>
      <c r="E231" s="2">
        <v>0</v>
      </c>
      <c r="F231">
        <v>0</v>
      </c>
      <c r="G231">
        <v>0</v>
      </c>
      <c r="H231">
        <v>0</v>
      </c>
      <c r="I231" t="s">
        <v>32</v>
      </c>
      <c r="J231">
        <v>0</v>
      </c>
      <c r="M231" t="s">
        <v>39</v>
      </c>
      <c r="N231">
        <v>96</v>
      </c>
      <c r="R231" t="s">
        <v>40</v>
      </c>
      <c r="S231">
        <v>7</v>
      </c>
    </row>
    <row r="232" spans="1:19" x14ac:dyDescent="0.25">
      <c r="A232" t="s">
        <v>42</v>
      </c>
      <c r="B232">
        <v>2</v>
      </c>
      <c r="C232" t="s">
        <v>34</v>
      </c>
      <c r="D232" t="s">
        <v>46</v>
      </c>
      <c r="E232" s="2">
        <v>0</v>
      </c>
      <c r="F232">
        <v>0</v>
      </c>
      <c r="G232">
        <v>0</v>
      </c>
      <c r="H232">
        <v>0</v>
      </c>
      <c r="I232" t="s">
        <v>32</v>
      </c>
      <c r="J232">
        <v>0</v>
      </c>
      <c r="M232" t="s">
        <v>39</v>
      </c>
      <c r="N232">
        <v>56</v>
      </c>
      <c r="R232" t="s">
        <v>40</v>
      </c>
      <c r="S232">
        <v>0</v>
      </c>
    </row>
    <row r="233" spans="1:19" x14ac:dyDescent="0.25">
      <c r="A233" t="s">
        <v>42</v>
      </c>
      <c r="B233">
        <v>2</v>
      </c>
      <c r="C233" t="s">
        <v>34</v>
      </c>
      <c r="D233" t="s">
        <v>46</v>
      </c>
      <c r="E233" s="2">
        <v>0</v>
      </c>
      <c r="F233">
        <v>0</v>
      </c>
      <c r="G233">
        <v>0</v>
      </c>
      <c r="H233">
        <v>0</v>
      </c>
      <c r="I233" t="s">
        <v>32</v>
      </c>
      <c r="J233">
        <v>0</v>
      </c>
      <c r="M233" t="s">
        <v>39</v>
      </c>
      <c r="N233">
        <v>30</v>
      </c>
      <c r="R233" t="s">
        <v>40</v>
      </c>
      <c r="S233">
        <v>13</v>
      </c>
    </row>
    <row r="234" spans="1:19" x14ac:dyDescent="0.25">
      <c r="A234" t="s">
        <v>42</v>
      </c>
      <c r="B234">
        <v>2</v>
      </c>
      <c r="C234" t="s">
        <v>34</v>
      </c>
      <c r="D234" t="s">
        <v>46</v>
      </c>
      <c r="E234" s="2">
        <v>0</v>
      </c>
      <c r="F234">
        <v>0</v>
      </c>
      <c r="G234">
        <v>0</v>
      </c>
      <c r="H234">
        <v>0</v>
      </c>
      <c r="I234" t="s">
        <v>32</v>
      </c>
      <c r="J234">
        <v>0</v>
      </c>
      <c r="M234" t="s">
        <v>39</v>
      </c>
      <c r="N234">
        <v>0</v>
      </c>
      <c r="R234" t="s">
        <v>40</v>
      </c>
      <c r="S234">
        <v>6</v>
      </c>
    </row>
    <row r="235" spans="1:19" x14ac:dyDescent="0.25">
      <c r="A235" t="s">
        <v>42</v>
      </c>
      <c r="B235">
        <v>2</v>
      </c>
      <c r="C235" t="s">
        <v>34</v>
      </c>
      <c r="D235" t="s">
        <v>46</v>
      </c>
      <c r="E235" s="2">
        <v>0</v>
      </c>
      <c r="F235">
        <v>0</v>
      </c>
      <c r="G235">
        <v>0</v>
      </c>
      <c r="H235">
        <v>0</v>
      </c>
      <c r="I235" t="s">
        <v>32</v>
      </c>
      <c r="J235">
        <v>0</v>
      </c>
      <c r="M235" t="s">
        <v>39</v>
      </c>
      <c r="N235">
        <v>0</v>
      </c>
      <c r="R235" t="s">
        <v>40</v>
      </c>
      <c r="S235">
        <v>0</v>
      </c>
    </row>
    <row r="236" spans="1:19" x14ac:dyDescent="0.25">
      <c r="A236" t="s">
        <v>42</v>
      </c>
      <c r="B236">
        <v>2</v>
      </c>
      <c r="C236" t="s">
        <v>34</v>
      </c>
      <c r="D236" t="s">
        <v>46</v>
      </c>
      <c r="E236" s="2">
        <v>0</v>
      </c>
      <c r="F236">
        <v>0</v>
      </c>
      <c r="G236">
        <v>0</v>
      </c>
      <c r="H236">
        <v>0</v>
      </c>
      <c r="I236" t="s">
        <v>32</v>
      </c>
      <c r="J236">
        <v>0</v>
      </c>
      <c r="M236" t="s">
        <v>39</v>
      </c>
      <c r="N236">
        <v>8</v>
      </c>
      <c r="R236" t="s">
        <v>40</v>
      </c>
      <c r="S236">
        <v>0</v>
      </c>
    </row>
    <row r="237" spans="1:19" x14ac:dyDescent="0.25">
      <c r="A237" t="s">
        <v>42</v>
      </c>
      <c r="B237">
        <v>2</v>
      </c>
      <c r="C237" t="s">
        <v>34</v>
      </c>
      <c r="D237" t="s">
        <v>46</v>
      </c>
      <c r="E237" s="2">
        <v>0</v>
      </c>
      <c r="F237">
        <v>0</v>
      </c>
      <c r="G237">
        <v>0</v>
      </c>
      <c r="H237">
        <v>0</v>
      </c>
      <c r="I237" t="s">
        <v>32</v>
      </c>
      <c r="J237">
        <v>0</v>
      </c>
      <c r="M237" t="s">
        <v>39</v>
      </c>
      <c r="N237">
        <v>66</v>
      </c>
      <c r="R237" t="s">
        <v>40</v>
      </c>
      <c r="S237">
        <v>3</v>
      </c>
    </row>
    <row r="238" spans="1:19" x14ac:dyDescent="0.25">
      <c r="A238" t="s">
        <v>42</v>
      </c>
      <c r="B238">
        <v>2</v>
      </c>
      <c r="C238" t="s">
        <v>34</v>
      </c>
      <c r="D238" t="s">
        <v>46</v>
      </c>
      <c r="E238" s="2">
        <v>0</v>
      </c>
      <c r="F238">
        <v>0</v>
      </c>
      <c r="G238">
        <v>0</v>
      </c>
      <c r="H238">
        <v>0</v>
      </c>
      <c r="I238" t="s">
        <v>32</v>
      </c>
      <c r="J238">
        <v>0</v>
      </c>
      <c r="M238" t="s">
        <v>39</v>
      </c>
      <c r="N238">
        <v>0</v>
      </c>
      <c r="R238" t="s">
        <v>40</v>
      </c>
      <c r="S238">
        <v>36</v>
      </c>
    </row>
    <row r="239" spans="1:19" x14ac:dyDescent="0.25">
      <c r="A239" t="s">
        <v>42</v>
      </c>
      <c r="B239">
        <v>2</v>
      </c>
      <c r="C239" t="s">
        <v>34</v>
      </c>
      <c r="D239" t="s">
        <v>46</v>
      </c>
      <c r="E239" s="2">
        <v>0</v>
      </c>
      <c r="F239">
        <v>0</v>
      </c>
      <c r="G239">
        <v>0</v>
      </c>
      <c r="H239">
        <v>0</v>
      </c>
      <c r="I239" t="s">
        <v>32</v>
      </c>
      <c r="J239">
        <v>0</v>
      </c>
      <c r="M239" t="s">
        <v>39</v>
      </c>
      <c r="N239">
        <v>7</v>
      </c>
      <c r="R239" t="s">
        <v>40</v>
      </c>
      <c r="S239">
        <v>0</v>
      </c>
    </row>
    <row r="240" spans="1:19" x14ac:dyDescent="0.25">
      <c r="A240" t="s">
        <v>42</v>
      </c>
      <c r="B240">
        <v>2</v>
      </c>
      <c r="C240" t="s">
        <v>34</v>
      </c>
      <c r="D240" t="s">
        <v>46</v>
      </c>
      <c r="E240" s="2">
        <v>0</v>
      </c>
      <c r="F240">
        <v>0</v>
      </c>
      <c r="G240">
        <v>0</v>
      </c>
      <c r="H240">
        <v>0</v>
      </c>
      <c r="I240" t="s">
        <v>32</v>
      </c>
      <c r="J240">
        <v>0</v>
      </c>
      <c r="M240" t="s">
        <v>39</v>
      </c>
      <c r="N240">
        <v>0</v>
      </c>
      <c r="R240" t="s">
        <v>40</v>
      </c>
      <c r="S240">
        <v>51</v>
      </c>
    </row>
    <row r="241" spans="1:19" x14ac:dyDescent="0.25">
      <c r="A241" t="s">
        <v>42</v>
      </c>
      <c r="B241">
        <v>2</v>
      </c>
      <c r="C241" t="s">
        <v>34</v>
      </c>
      <c r="D241" t="s">
        <v>46</v>
      </c>
      <c r="E241" s="2">
        <v>0</v>
      </c>
      <c r="F241">
        <v>0</v>
      </c>
      <c r="G241">
        <v>0</v>
      </c>
      <c r="H241">
        <v>0</v>
      </c>
      <c r="I241" t="s">
        <v>32</v>
      </c>
      <c r="J241">
        <v>0</v>
      </c>
      <c r="M241" t="s">
        <v>39</v>
      </c>
      <c r="N241">
        <v>0</v>
      </c>
      <c r="R241" t="s">
        <v>40</v>
      </c>
      <c r="S241">
        <v>0</v>
      </c>
    </row>
    <row r="242" spans="1:19" x14ac:dyDescent="0.25">
      <c r="A242" t="s">
        <v>42</v>
      </c>
      <c r="B242">
        <v>2</v>
      </c>
      <c r="C242" t="s">
        <v>34</v>
      </c>
      <c r="D242" t="s">
        <v>46</v>
      </c>
      <c r="E242" s="2">
        <v>0</v>
      </c>
      <c r="F242">
        <v>0</v>
      </c>
      <c r="G242">
        <v>0</v>
      </c>
      <c r="H242">
        <v>0</v>
      </c>
      <c r="I242" t="s">
        <v>32</v>
      </c>
      <c r="J242">
        <v>0</v>
      </c>
      <c r="M242" t="s">
        <v>39</v>
      </c>
      <c r="N242">
        <v>0</v>
      </c>
      <c r="R242" t="s">
        <v>40</v>
      </c>
      <c r="S242">
        <v>0</v>
      </c>
    </row>
    <row r="243" spans="1:19" x14ac:dyDescent="0.25">
      <c r="A243" t="s">
        <v>42</v>
      </c>
      <c r="B243">
        <v>2</v>
      </c>
      <c r="C243" t="s">
        <v>34</v>
      </c>
      <c r="D243" t="s">
        <v>46</v>
      </c>
      <c r="E243" s="2">
        <v>0</v>
      </c>
      <c r="F243">
        <v>0</v>
      </c>
      <c r="G243">
        <v>0</v>
      </c>
      <c r="H243">
        <v>0</v>
      </c>
      <c r="I243" t="s">
        <v>32</v>
      </c>
      <c r="J243">
        <v>0</v>
      </c>
      <c r="M243" t="s">
        <v>39</v>
      </c>
      <c r="N243">
        <v>47</v>
      </c>
      <c r="R243" t="s">
        <v>40</v>
      </c>
      <c r="S243">
        <v>0</v>
      </c>
    </row>
    <row r="244" spans="1:19" x14ac:dyDescent="0.25">
      <c r="A244" t="s">
        <v>42</v>
      </c>
      <c r="B244">
        <v>2</v>
      </c>
      <c r="C244" t="s">
        <v>34</v>
      </c>
      <c r="D244" t="s">
        <v>46</v>
      </c>
      <c r="E244" s="2">
        <v>0</v>
      </c>
      <c r="F244">
        <v>0</v>
      </c>
      <c r="G244">
        <v>0</v>
      </c>
      <c r="H244">
        <v>0</v>
      </c>
      <c r="I244" t="s">
        <v>32</v>
      </c>
      <c r="J244">
        <v>0</v>
      </c>
      <c r="M244" t="s">
        <v>39</v>
      </c>
      <c r="N244">
        <v>0</v>
      </c>
      <c r="R244" t="s">
        <v>40</v>
      </c>
      <c r="S244">
        <v>0</v>
      </c>
    </row>
    <row r="245" spans="1:19" x14ac:dyDescent="0.25">
      <c r="A245" t="s">
        <v>42</v>
      </c>
      <c r="B245">
        <v>2</v>
      </c>
      <c r="C245" t="s">
        <v>34</v>
      </c>
      <c r="D245" t="s">
        <v>46</v>
      </c>
      <c r="E245" s="2">
        <v>0</v>
      </c>
      <c r="F245">
        <v>0</v>
      </c>
      <c r="G245">
        <v>0</v>
      </c>
      <c r="H245">
        <v>0</v>
      </c>
      <c r="I245" t="s">
        <v>32</v>
      </c>
      <c r="J245">
        <v>0</v>
      </c>
      <c r="M245" t="s">
        <v>39</v>
      </c>
      <c r="N245">
        <v>0</v>
      </c>
      <c r="R245" t="s">
        <v>40</v>
      </c>
      <c r="S245">
        <v>32</v>
      </c>
    </row>
    <row r="246" spans="1:19" x14ac:dyDescent="0.25">
      <c r="A246" t="s">
        <v>42</v>
      </c>
      <c r="B246">
        <v>2</v>
      </c>
      <c r="C246" t="s">
        <v>34</v>
      </c>
      <c r="D246" t="s">
        <v>46</v>
      </c>
      <c r="E246" s="2">
        <v>0</v>
      </c>
      <c r="F246">
        <v>0</v>
      </c>
      <c r="G246">
        <v>0</v>
      </c>
      <c r="H246">
        <v>0</v>
      </c>
      <c r="I246" t="s">
        <v>32</v>
      </c>
      <c r="J246">
        <v>0</v>
      </c>
      <c r="M246" t="s">
        <v>39</v>
      </c>
      <c r="N246">
        <v>62</v>
      </c>
      <c r="R246" t="s">
        <v>40</v>
      </c>
      <c r="S246">
        <v>0</v>
      </c>
    </row>
    <row r="247" spans="1:19" x14ac:dyDescent="0.25">
      <c r="A247" t="s">
        <v>42</v>
      </c>
      <c r="B247">
        <v>2</v>
      </c>
      <c r="C247" t="s">
        <v>34</v>
      </c>
      <c r="D247" t="s">
        <v>46</v>
      </c>
      <c r="E247" s="2">
        <v>0</v>
      </c>
      <c r="F247">
        <v>0</v>
      </c>
      <c r="G247">
        <v>0</v>
      </c>
      <c r="H247">
        <v>0</v>
      </c>
      <c r="I247" t="s">
        <v>32</v>
      </c>
      <c r="J247">
        <v>0</v>
      </c>
      <c r="M247" t="s">
        <v>39</v>
      </c>
      <c r="N247">
        <v>0</v>
      </c>
      <c r="R247" t="s">
        <v>40</v>
      </c>
      <c r="S247">
        <v>0</v>
      </c>
    </row>
    <row r="248" spans="1:19" x14ac:dyDescent="0.25">
      <c r="A248" t="s">
        <v>42</v>
      </c>
      <c r="B248">
        <v>2</v>
      </c>
      <c r="C248" t="s">
        <v>34</v>
      </c>
      <c r="D248" t="s">
        <v>46</v>
      </c>
      <c r="E248" s="2">
        <v>0</v>
      </c>
      <c r="F248">
        <v>0</v>
      </c>
      <c r="G248">
        <v>0</v>
      </c>
      <c r="H248">
        <v>0</v>
      </c>
      <c r="I248" t="s">
        <v>32</v>
      </c>
      <c r="J248">
        <v>0</v>
      </c>
      <c r="M248" t="s">
        <v>39</v>
      </c>
      <c r="N248">
        <v>0</v>
      </c>
      <c r="R248" t="s">
        <v>40</v>
      </c>
      <c r="S248">
        <v>0</v>
      </c>
    </row>
    <row r="249" spans="1:19" x14ac:dyDescent="0.25">
      <c r="A249" t="s">
        <v>42</v>
      </c>
      <c r="B249">
        <v>2</v>
      </c>
      <c r="C249" t="s">
        <v>34</v>
      </c>
      <c r="D249" t="s">
        <v>46</v>
      </c>
      <c r="E249" s="2">
        <v>0</v>
      </c>
      <c r="F249">
        <v>0</v>
      </c>
      <c r="G249">
        <v>0</v>
      </c>
      <c r="H249">
        <v>0</v>
      </c>
      <c r="I249" t="s">
        <v>32</v>
      </c>
      <c r="J249">
        <v>0</v>
      </c>
      <c r="M249" t="s">
        <v>39</v>
      </c>
      <c r="N249">
        <v>75</v>
      </c>
      <c r="R249" t="s">
        <v>40</v>
      </c>
      <c r="S249">
        <v>35</v>
      </c>
    </row>
    <row r="250" spans="1:19" x14ac:dyDescent="0.25">
      <c r="A250" t="s">
        <v>42</v>
      </c>
      <c r="B250">
        <v>2</v>
      </c>
      <c r="C250" t="s">
        <v>34</v>
      </c>
      <c r="D250" t="s">
        <v>46</v>
      </c>
      <c r="E250" s="2">
        <v>0</v>
      </c>
      <c r="F250">
        <v>0</v>
      </c>
      <c r="G250">
        <v>0</v>
      </c>
      <c r="H250">
        <v>0</v>
      </c>
      <c r="I250" t="s">
        <v>32</v>
      </c>
      <c r="J250">
        <v>0</v>
      </c>
      <c r="M250" t="s">
        <v>39</v>
      </c>
      <c r="N250">
        <v>0</v>
      </c>
      <c r="R250" t="s">
        <v>40</v>
      </c>
      <c r="S250">
        <v>18</v>
      </c>
    </row>
    <row r="251" spans="1:19" x14ac:dyDescent="0.25">
      <c r="A251" t="s">
        <v>42</v>
      </c>
      <c r="B251">
        <v>2</v>
      </c>
      <c r="C251" t="s">
        <v>34</v>
      </c>
      <c r="D251" t="s">
        <v>46</v>
      </c>
      <c r="E251" s="2">
        <v>0</v>
      </c>
      <c r="F251">
        <v>0</v>
      </c>
      <c r="G251">
        <v>0</v>
      </c>
      <c r="H251">
        <v>0</v>
      </c>
      <c r="I251" t="s">
        <v>32</v>
      </c>
      <c r="J251">
        <v>0</v>
      </c>
      <c r="M251" t="s">
        <v>39</v>
      </c>
      <c r="N251">
        <v>13</v>
      </c>
      <c r="R251" t="s">
        <v>40</v>
      </c>
      <c r="S251">
        <v>9</v>
      </c>
    </row>
    <row r="252" spans="1:19" x14ac:dyDescent="0.25">
      <c r="A252" t="s">
        <v>42</v>
      </c>
      <c r="B252">
        <v>2</v>
      </c>
      <c r="C252" t="s">
        <v>34</v>
      </c>
      <c r="D252" t="s">
        <v>46</v>
      </c>
      <c r="E252" s="2">
        <v>0</v>
      </c>
      <c r="F252">
        <v>0</v>
      </c>
      <c r="G252">
        <v>0</v>
      </c>
      <c r="H252">
        <v>0</v>
      </c>
      <c r="I252" t="s">
        <v>32</v>
      </c>
      <c r="J252">
        <v>0</v>
      </c>
      <c r="M252" t="s">
        <v>39</v>
      </c>
      <c r="N252">
        <v>57</v>
      </c>
      <c r="R252" t="s">
        <v>40</v>
      </c>
      <c r="S252">
        <v>13</v>
      </c>
    </row>
    <row r="253" spans="1:19" x14ac:dyDescent="0.25">
      <c r="A253" t="s">
        <v>42</v>
      </c>
      <c r="B253">
        <v>2</v>
      </c>
      <c r="C253" t="s">
        <v>34</v>
      </c>
      <c r="D253" t="s">
        <v>46</v>
      </c>
      <c r="E253" s="2">
        <v>0</v>
      </c>
      <c r="F253">
        <v>0</v>
      </c>
      <c r="G253">
        <v>0</v>
      </c>
      <c r="H253">
        <v>0</v>
      </c>
      <c r="I253" t="s">
        <v>32</v>
      </c>
      <c r="J253">
        <v>0</v>
      </c>
      <c r="M253" t="s">
        <v>39</v>
      </c>
      <c r="N253">
        <v>10</v>
      </c>
      <c r="R253" t="s">
        <v>40</v>
      </c>
      <c r="S253">
        <v>5</v>
      </c>
    </row>
    <row r="254" spans="1:19" x14ac:dyDescent="0.25">
      <c r="A254" t="s">
        <v>42</v>
      </c>
      <c r="B254">
        <v>2</v>
      </c>
      <c r="C254" t="s">
        <v>34</v>
      </c>
      <c r="D254" t="s">
        <v>46</v>
      </c>
      <c r="E254" s="2">
        <v>0</v>
      </c>
      <c r="F254">
        <v>0</v>
      </c>
      <c r="G254">
        <v>0</v>
      </c>
      <c r="H254">
        <v>0</v>
      </c>
      <c r="I254" t="s">
        <v>32</v>
      </c>
      <c r="J254">
        <v>0</v>
      </c>
      <c r="M254" t="s">
        <v>39</v>
      </c>
      <c r="N254">
        <v>65</v>
      </c>
      <c r="R254" t="s">
        <v>40</v>
      </c>
      <c r="S254">
        <v>47</v>
      </c>
    </row>
    <row r="255" spans="1:19" x14ac:dyDescent="0.25">
      <c r="A255" t="s">
        <v>42</v>
      </c>
      <c r="B255">
        <v>2</v>
      </c>
      <c r="C255" t="s">
        <v>34</v>
      </c>
      <c r="D255" t="s">
        <v>46</v>
      </c>
      <c r="E255" s="2">
        <v>0</v>
      </c>
      <c r="F255">
        <v>0</v>
      </c>
      <c r="G255">
        <v>0</v>
      </c>
      <c r="H255">
        <v>0</v>
      </c>
      <c r="I255" t="s">
        <v>32</v>
      </c>
      <c r="J255">
        <v>0</v>
      </c>
      <c r="M255" t="s">
        <v>39</v>
      </c>
      <c r="N255">
        <v>44</v>
      </c>
      <c r="R255" t="s">
        <v>40</v>
      </c>
      <c r="S255">
        <v>4</v>
      </c>
    </row>
    <row r="256" spans="1:19" x14ac:dyDescent="0.25">
      <c r="A256" t="s">
        <v>42</v>
      </c>
      <c r="B256">
        <v>2</v>
      </c>
      <c r="C256" t="s">
        <v>34</v>
      </c>
      <c r="D256" t="s">
        <v>46</v>
      </c>
      <c r="E256" s="2">
        <v>0</v>
      </c>
      <c r="F256">
        <v>0</v>
      </c>
      <c r="G256">
        <v>0</v>
      </c>
      <c r="H256">
        <v>0</v>
      </c>
      <c r="I256" t="s">
        <v>32</v>
      </c>
      <c r="J256">
        <v>0</v>
      </c>
      <c r="M256" t="s">
        <v>39</v>
      </c>
      <c r="N256">
        <v>6</v>
      </c>
      <c r="R256" t="s">
        <v>40</v>
      </c>
      <c r="S256">
        <v>76</v>
      </c>
    </row>
    <row r="257" spans="1:19" x14ac:dyDescent="0.25">
      <c r="A257" t="s">
        <v>42</v>
      </c>
      <c r="B257">
        <v>2</v>
      </c>
      <c r="C257" t="s">
        <v>34</v>
      </c>
      <c r="D257" t="s">
        <v>46</v>
      </c>
      <c r="E257" s="2">
        <v>0</v>
      </c>
      <c r="F257">
        <v>0</v>
      </c>
      <c r="G257">
        <v>0</v>
      </c>
      <c r="H257">
        <v>0</v>
      </c>
      <c r="I257" t="s">
        <v>32</v>
      </c>
      <c r="J257">
        <v>0</v>
      </c>
      <c r="M257" t="s">
        <v>39</v>
      </c>
      <c r="N257">
        <v>33</v>
      </c>
      <c r="R257" t="s">
        <v>40</v>
      </c>
      <c r="S257">
        <v>0</v>
      </c>
    </row>
    <row r="258" spans="1:19" x14ac:dyDescent="0.25">
      <c r="A258" t="s">
        <v>42</v>
      </c>
      <c r="B258">
        <v>2</v>
      </c>
      <c r="C258" t="s">
        <v>34</v>
      </c>
      <c r="D258" t="s">
        <v>46</v>
      </c>
      <c r="E258" s="2">
        <v>0</v>
      </c>
      <c r="F258">
        <v>0</v>
      </c>
      <c r="G258">
        <v>0</v>
      </c>
      <c r="H258">
        <v>0</v>
      </c>
      <c r="I258" t="s">
        <v>32</v>
      </c>
      <c r="J258">
        <v>0</v>
      </c>
      <c r="M258" t="s">
        <v>39</v>
      </c>
      <c r="N258">
        <v>47</v>
      </c>
      <c r="R258" t="s">
        <v>40</v>
      </c>
      <c r="S258">
        <v>4</v>
      </c>
    </row>
    <row r="259" spans="1:19" x14ac:dyDescent="0.25">
      <c r="A259" t="s">
        <v>42</v>
      </c>
      <c r="B259">
        <v>2</v>
      </c>
      <c r="C259" t="s">
        <v>34</v>
      </c>
      <c r="D259" t="s">
        <v>46</v>
      </c>
      <c r="E259" s="2">
        <v>0</v>
      </c>
      <c r="F259">
        <v>0</v>
      </c>
      <c r="G259">
        <v>0</v>
      </c>
      <c r="H259">
        <v>0</v>
      </c>
      <c r="I259" t="s">
        <v>32</v>
      </c>
      <c r="J259">
        <v>0</v>
      </c>
      <c r="M259" t="s">
        <v>39</v>
      </c>
      <c r="N259">
        <v>69</v>
      </c>
      <c r="R259" t="s">
        <v>40</v>
      </c>
      <c r="S259">
        <v>26</v>
      </c>
    </row>
    <row r="260" spans="1:19" x14ac:dyDescent="0.25">
      <c r="A260" t="s">
        <v>42</v>
      </c>
      <c r="B260">
        <v>2</v>
      </c>
      <c r="C260" t="s">
        <v>34</v>
      </c>
      <c r="D260" t="s">
        <v>46</v>
      </c>
      <c r="E260" s="2">
        <v>0</v>
      </c>
      <c r="F260">
        <v>0</v>
      </c>
      <c r="G260">
        <v>0</v>
      </c>
      <c r="H260">
        <v>0</v>
      </c>
      <c r="I260" t="s">
        <v>32</v>
      </c>
      <c r="J260">
        <v>0</v>
      </c>
      <c r="M260" t="s">
        <v>39</v>
      </c>
      <c r="N260">
        <v>22</v>
      </c>
      <c r="R260" t="s">
        <v>40</v>
      </c>
      <c r="S260">
        <v>0</v>
      </c>
    </row>
    <row r="261" spans="1:19" x14ac:dyDescent="0.25">
      <c r="A261" t="s">
        <v>42</v>
      </c>
      <c r="B261">
        <v>2</v>
      </c>
      <c r="C261" t="s">
        <v>34</v>
      </c>
      <c r="D261" t="s">
        <v>46</v>
      </c>
      <c r="E261" s="2">
        <v>0</v>
      </c>
      <c r="F261">
        <v>0</v>
      </c>
      <c r="G261">
        <v>0</v>
      </c>
      <c r="H261">
        <v>0</v>
      </c>
      <c r="I261" t="s">
        <v>32</v>
      </c>
      <c r="J261">
        <v>0</v>
      </c>
      <c r="M261" t="s">
        <v>39</v>
      </c>
      <c r="N261">
        <v>24</v>
      </c>
      <c r="R261" t="s">
        <v>40</v>
      </c>
      <c r="S261">
        <v>0</v>
      </c>
    </row>
    <row r="262" spans="1:19" x14ac:dyDescent="0.25">
      <c r="A262" t="s">
        <v>42</v>
      </c>
      <c r="B262">
        <v>2</v>
      </c>
      <c r="C262" t="s">
        <v>34</v>
      </c>
      <c r="D262" t="s">
        <v>46</v>
      </c>
      <c r="E262" s="2">
        <v>0</v>
      </c>
      <c r="F262">
        <v>0</v>
      </c>
      <c r="G262">
        <v>0</v>
      </c>
      <c r="H262">
        <v>0</v>
      </c>
      <c r="I262" t="s">
        <v>32</v>
      </c>
      <c r="J262">
        <v>0</v>
      </c>
      <c r="M262" t="s">
        <v>39</v>
      </c>
      <c r="N262">
        <v>0</v>
      </c>
      <c r="R262" t="s">
        <v>40</v>
      </c>
      <c r="S262">
        <v>0</v>
      </c>
    </row>
    <row r="263" spans="1:19" x14ac:dyDescent="0.25">
      <c r="A263" t="s">
        <v>42</v>
      </c>
      <c r="B263">
        <v>2</v>
      </c>
      <c r="C263" t="s">
        <v>34</v>
      </c>
      <c r="D263" t="s">
        <v>46</v>
      </c>
      <c r="E263" s="2">
        <v>0</v>
      </c>
      <c r="F263">
        <v>0</v>
      </c>
      <c r="G263">
        <v>0</v>
      </c>
      <c r="H263">
        <v>0</v>
      </c>
      <c r="I263" t="s">
        <v>32</v>
      </c>
      <c r="J263">
        <v>0</v>
      </c>
      <c r="M263" t="s">
        <v>39</v>
      </c>
      <c r="N263">
        <v>6</v>
      </c>
      <c r="R263" t="s">
        <v>40</v>
      </c>
      <c r="S263">
        <v>8</v>
      </c>
    </row>
    <row r="264" spans="1:19" x14ac:dyDescent="0.25">
      <c r="A264" t="s">
        <v>42</v>
      </c>
      <c r="B264">
        <v>2</v>
      </c>
      <c r="C264" t="s">
        <v>34</v>
      </c>
      <c r="D264" t="s">
        <v>46</v>
      </c>
      <c r="E264" s="2">
        <v>0</v>
      </c>
      <c r="F264">
        <v>0</v>
      </c>
      <c r="G264">
        <v>0</v>
      </c>
      <c r="H264">
        <v>0</v>
      </c>
      <c r="I264" t="s">
        <v>32</v>
      </c>
      <c r="J264">
        <v>0</v>
      </c>
      <c r="M264" t="s">
        <v>39</v>
      </c>
      <c r="N264">
        <v>45</v>
      </c>
      <c r="R264" t="s">
        <v>40</v>
      </c>
      <c r="S264">
        <v>0</v>
      </c>
    </row>
    <row r="265" spans="1:19" x14ac:dyDescent="0.25">
      <c r="A265" t="s">
        <v>42</v>
      </c>
      <c r="B265">
        <v>2</v>
      </c>
      <c r="C265" t="s">
        <v>34</v>
      </c>
      <c r="D265" t="s">
        <v>46</v>
      </c>
      <c r="E265" s="2">
        <v>0</v>
      </c>
      <c r="F265">
        <v>0</v>
      </c>
      <c r="G265">
        <v>0</v>
      </c>
      <c r="H265">
        <v>0</v>
      </c>
      <c r="I265" t="s">
        <v>32</v>
      </c>
      <c r="J265">
        <v>0</v>
      </c>
      <c r="M265" t="s">
        <v>39</v>
      </c>
      <c r="N265">
        <v>44</v>
      </c>
      <c r="R265" t="s">
        <v>40</v>
      </c>
      <c r="S265">
        <v>7</v>
      </c>
    </row>
    <row r="266" spans="1:19" x14ac:dyDescent="0.25">
      <c r="A266" t="s">
        <v>42</v>
      </c>
      <c r="B266">
        <v>2</v>
      </c>
      <c r="C266" t="s">
        <v>34</v>
      </c>
      <c r="D266" t="s">
        <v>46</v>
      </c>
      <c r="E266" s="2">
        <v>0</v>
      </c>
      <c r="F266">
        <v>0</v>
      </c>
      <c r="G266">
        <v>0</v>
      </c>
      <c r="H266">
        <v>0</v>
      </c>
      <c r="I266" t="s">
        <v>32</v>
      </c>
      <c r="J266">
        <v>0</v>
      </c>
      <c r="M266" t="s">
        <v>39</v>
      </c>
      <c r="N266">
        <v>0</v>
      </c>
      <c r="R266" t="s">
        <v>40</v>
      </c>
      <c r="S266">
        <v>26</v>
      </c>
    </row>
    <row r="267" spans="1:19" x14ac:dyDescent="0.25">
      <c r="A267" t="s">
        <v>42</v>
      </c>
      <c r="B267">
        <v>2</v>
      </c>
      <c r="C267" t="s">
        <v>34</v>
      </c>
      <c r="D267" t="s">
        <v>46</v>
      </c>
      <c r="E267" s="2">
        <v>0</v>
      </c>
      <c r="F267">
        <v>0</v>
      </c>
      <c r="G267">
        <v>0</v>
      </c>
      <c r="H267">
        <v>0</v>
      </c>
      <c r="I267" t="s">
        <v>32</v>
      </c>
      <c r="J267">
        <v>0</v>
      </c>
      <c r="M267" t="s">
        <v>39</v>
      </c>
      <c r="N267">
        <v>6</v>
      </c>
      <c r="R267" t="s">
        <v>40</v>
      </c>
      <c r="S267">
        <v>0</v>
      </c>
    </row>
    <row r="268" spans="1:19" x14ac:dyDescent="0.25">
      <c r="A268" t="s">
        <v>42</v>
      </c>
      <c r="B268">
        <v>2</v>
      </c>
      <c r="C268" t="s">
        <v>34</v>
      </c>
      <c r="D268" t="s">
        <v>46</v>
      </c>
      <c r="E268" s="2">
        <v>0</v>
      </c>
      <c r="F268">
        <v>0</v>
      </c>
      <c r="G268">
        <v>0</v>
      </c>
      <c r="H268">
        <v>0</v>
      </c>
      <c r="I268" t="s">
        <v>32</v>
      </c>
      <c r="J268">
        <v>0</v>
      </c>
      <c r="M268" t="s">
        <v>39</v>
      </c>
      <c r="N268">
        <v>0</v>
      </c>
      <c r="R268" t="s">
        <v>40</v>
      </c>
      <c r="S268">
        <v>10</v>
      </c>
    </row>
    <row r="269" spans="1:19" x14ac:dyDescent="0.25">
      <c r="A269" t="s">
        <v>42</v>
      </c>
      <c r="B269">
        <v>2</v>
      </c>
      <c r="C269" t="s">
        <v>34</v>
      </c>
      <c r="D269" t="s">
        <v>46</v>
      </c>
      <c r="E269" s="2">
        <v>0</v>
      </c>
      <c r="F269">
        <v>0</v>
      </c>
      <c r="G269">
        <v>0</v>
      </c>
      <c r="H269">
        <v>0</v>
      </c>
      <c r="I269" t="s">
        <v>32</v>
      </c>
      <c r="J269">
        <v>0</v>
      </c>
      <c r="M269" t="s">
        <v>39</v>
      </c>
      <c r="N269">
        <v>0</v>
      </c>
      <c r="R269" t="s">
        <v>40</v>
      </c>
      <c r="S269">
        <v>4</v>
      </c>
    </row>
    <row r="270" spans="1:19" x14ac:dyDescent="0.25">
      <c r="A270" t="s">
        <v>42</v>
      </c>
      <c r="B270">
        <v>2</v>
      </c>
      <c r="C270" t="s">
        <v>34</v>
      </c>
      <c r="D270" t="s">
        <v>46</v>
      </c>
      <c r="E270" s="2">
        <v>0</v>
      </c>
      <c r="F270">
        <v>0</v>
      </c>
      <c r="G270">
        <v>0</v>
      </c>
      <c r="H270">
        <v>0</v>
      </c>
      <c r="I270" t="s">
        <v>32</v>
      </c>
      <c r="J270">
        <v>0</v>
      </c>
      <c r="M270" t="s">
        <v>39</v>
      </c>
      <c r="N270">
        <v>115</v>
      </c>
      <c r="R270" t="s">
        <v>40</v>
      </c>
      <c r="S270">
        <v>48</v>
      </c>
    </row>
    <row r="271" spans="1:19" x14ac:dyDescent="0.25">
      <c r="A271" t="s">
        <v>42</v>
      </c>
      <c r="B271">
        <v>2</v>
      </c>
      <c r="C271" t="s">
        <v>34</v>
      </c>
      <c r="D271" t="s">
        <v>46</v>
      </c>
      <c r="E271" s="2">
        <v>0</v>
      </c>
      <c r="F271">
        <v>0</v>
      </c>
      <c r="G271">
        <v>0</v>
      </c>
      <c r="H271">
        <v>0</v>
      </c>
      <c r="I271" t="s">
        <v>32</v>
      </c>
      <c r="J271">
        <v>0</v>
      </c>
      <c r="M271" t="s">
        <v>39</v>
      </c>
      <c r="N271">
        <v>0</v>
      </c>
      <c r="R271" t="s">
        <v>40</v>
      </c>
      <c r="S271">
        <v>37</v>
      </c>
    </row>
    <row r="272" spans="1:19" x14ac:dyDescent="0.25">
      <c r="A272" t="s">
        <v>42</v>
      </c>
      <c r="B272">
        <v>2</v>
      </c>
      <c r="C272" t="s">
        <v>34</v>
      </c>
      <c r="D272" t="s">
        <v>46</v>
      </c>
      <c r="E272" s="2">
        <v>0</v>
      </c>
      <c r="F272">
        <v>0</v>
      </c>
      <c r="G272">
        <v>0</v>
      </c>
      <c r="H272">
        <v>0</v>
      </c>
      <c r="I272" t="s">
        <v>32</v>
      </c>
      <c r="J272">
        <v>0</v>
      </c>
      <c r="M272" t="s">
        <v>39</v>
      </c>
      <c r="N272">
        <v>19</v>
      </c>
      <c r="R272" t="s">
        <v>40</v>
      </c>
      <c r="S272">
        <v>12</v>
      </c>
    </row>
    <row r="273" spans="1:19" x14ac:dyDescent="0.25">
      <c r="A273" t="s">
        <v>42</v>
      </c>
      <c r="B273">
        <v>2</v>
      </c>
      <c r="C273" t="s">
        <v>34</v>
      </c>
      <c r="D273" t="s">
        <v>46</v>
      </c>
      <c r="E273" s="2">
        <v>0</v>
      </c>
      <c r="F273">
        <v>0</v>
      </c>
      <c r="G273">
        <v>0</v>
      </c>
      <c r="H273">
        <v>0</v>
      </c>
      <c r="I273" t="s">
        <v>32</v>
      </c>
      <c r="J273">
        <v>0</v>
      </c>
      <c r="M273" t="s">
        <v>39</v>
      </c>
      <c r="N273">
        <v>125</v>
      </c>
      <c r="R273" t="s">
        <v>40</v>
      </c>
      <c r="S273">
        <v>0</v>
      </c>
    </row>
    <row r="274" spans="1:19" x14ac:dyDescent="0.25">
      <c r="A274" t="s">
        <v>42</v>
      </c>
      <c r="B274">
        <v>2</v>
      </c>
      <c r="C274" t="s">
        <v>34</v>
      </c>
      <c r="D274" t="s">
        <v>46</v>
      </c>
      <c r="E274" s="2">
        <v>0</v>
      </c>
      <c r="F274">
        <v>0</v>
      </c>
      <c r="G274">
        <v>0</v>
      </c>
      <c r="H274">
        <v>0</v>
      </c>
      <c r="I274" t="s">
        <v>32</v>
      </c>
      <c r="J274">
        <v>0</v>
      </c>
      <c r="M274" t="s">
        <v>39</v>
      </c>
      <c r="N274">
        <v>0</v>
      </c>
      <c r="R274" t="s">
        <v>40</v>
      </c>
      <c r="S274">
        <v>0</v>
      </c>
    </row>
    <row r="275" spans="1:19" x14ac:dyDescent="0.25">
      <c r="A275" t="s">
        <v>42</v>
      </c>
      <c r="B275">
        <v>2</v>
      </c>
      <c r="C275" t="s">
        <v>34</v>
      </c>
      <c r="D275" t="s">
        <v>46</v>
      </c>
      <c r="E275" s="2">
        <v>0</v>
      </c>
      <c r="F275">
        <v>0</v>
      </c>
      <c r="G275">
        <v>0</v>
      </c>
      <c r="H275">
        <v>0</v>
      </c>
      <c r="I275" t="s">
        <v>32</v>
      </c>
      <c r="J275">
        <v>0</v>
      </c>
      <c r="M275" t="s">
        <v>41</v>
      </c>
      <c r="N275">
        <v>71</v>
      </c>
      <c r="R275" t="s">
        <v>40</v>
      </c>
      <c r="S275">
        <v>120</v>
      </c>
    </row>
    <row r="276" spans="1:19" x14ac:dyDescent="0.25">
      <c r="A276" t="s">
        <v>42</v>
      </c>
      <c r="B276">
        <v>5</v>
      </c>
      <c r="C276" t="s">
        <v>30</v>
      </c>
      <c r="D276" t="s">
        <v>47</v>
      </c>
      <c r="E276" s="2">
        <v>0</v>
      </c>
      <c r="F276">
        <v>0</v>
      </c>
      <c r="G276">
        <v>0</v>
      </c>
      <c r="H276">
        <v>0</v>
      </c>
      <c r="I276" t="s">
        <v>32</v>
      </c>
      <c r="J276">
        <v>0</v>
      </c>
      <c r="M276" t="s">
        <v>41</v>
      </c>
      <c r="N276">
        <v>64</v>
      </c>
      <c r="R276" t="s">
        <v>40</v>
      </c>
      <c r="S276">
        <v>73</v>
      </c>
    </row>
    <row r="277" spans="1:19" x14ac:dyDescent="0.25">
      <c r="A277" t="s">
        <v>42</v>
      </c>
      <c r="B277">
        <v>5</v>
      </c>
      <c r="C277" t="s">
        <v>30</v>
      </c>
      <c r="D277" t="s">
        <v>47</v>
      </c>
      <c r="E277" s="2">
        <v>0</v>
      </c>
      <c r="F277">
        <v>0</v>
      </c>
      <c r="G277">
        <v>0</v>
      </c>
      <c r="H277">
        <v>0</v>
      </c>
      <c r="I277" t="s">
        <v>32</v>
      </c>
      <c r="J277">
        <v>0</v>
      </c>
      <c r="M277" t="s">
        <v>41</v>
      </c>
      <c r="N277">
        <v>68</v>
      </c>
      <c r="R277" t="s">
        <v>40</v>
      </c>
      <c r="S277">
        <v>70</v>
      </c>
    </row>
    <row r="278" spans="1:19" x14ac:dyDescent="0.25">
      <c r="A278" t="s">
        <v>42</v>
      </c>
      <c r="B278">
        <v>5</v>
      </c>
      <c r="C278" t="s">
        <v>30</v>
      </c>
      <c r="D278" t="s">
        <v>47</v>
      </c>
      <c r="E278" s="2">
        <v>0</v>
      </c>
      <c r="F278">
        <v>0</v>
      </c>
      <c r="G278">
        <v>0</v>
      </c>
      <c r="H278">
        <v>0</v>
      </c>
      <c r="I278" t="s">
        <v>32</v>
      </c>
      <c r="J278">
        <v>0</v>
      </c>
      <c r="M278" t="s">
        <v>41</v>
      </c>
      <c r="N278">
        <v>0</v>
      </c>
      <c r="R278" t="s">
        <v>40</v>
      </c>
      <c r="S278">
        <v>0</v>
      </c>
    </row>
    <row r="279" spans="1:19" x14ac:dyDescent="0.25">
      <c r="A279" t="s">
        <v>42</v>
      </c>
      <c r="B279">
        <v>5</v>
      </c>
      <c r="C279" t="s">
        <v>30</v>
      </c>
      <c r="D279" t="s">
        <v>47</v>
      </c>
      <c r="E279" s="2">
        <v>0</v>
      </c>
      <c r="F279">
        <v>0</v>
      </c>
      <c r="G279">
        <v>0</v>
      </c>
      <c r="H279">
        <v>0</v>
      </c>
      <c r="I279" t="s">
        <v>32</v>
      </c>
      <c r="J279">
        <v>0</v>
      </c>
      <c r="M279" t="s">
        <v>41</v>
      </c>
      <c r="N279">
        <v>14</v>
      </c>
      <c r="R279" t="s">
        <v>40</v>
      </c>
      <c r="S279">
        <v>0</v>
      </c>
    </row>
    <row r="280" spans="1:19" x14ac:dyDescent="0.25">
      <c r="A280" t="s">
        <v>42</v>
      </c>
      <c r="B280">
        <v>5</v>
      </c>
      <c r="C280" t="s">
        <v>30</v>
      </c>
      <c r="D280" t="s">
        <v>47</v>
      </c>
      <c r="E280" s="2">
        <v>0</v>
      </c>
      <c r="F280">
        <v>0</v>
      </c>
      <c r="G280">
        <v>0</v>
      </c>
      <c r="H280">
        <v>0</v>
      </c>
      <c r="I280" t="s">
        <v>32</v>
      </c>
      <c r="J280">
        <v>0</v>
      </c>
      <c r="M280" t="s">
        <v>41</v>
      </c>
      <c r="N280">
        <v>27</v>
      </c>
      <c r="R280" t="s">
        <v>40</v>
      </c>
      <c r="S280">
        <v>0</v>
      </c>
    </row>
    <row r="281" spans="1:19" x14ac:dyDescent="0.25">
      <c r="A281" t="s">
        <v>42</v>
      </c>
      <c r="B281">
        <v>5</v>
      </c>
      <c r="C281" t="s">
        <v>30</v>
      </c>
      <c r="D281" t="s">
        <v>47</v>
      </c>
      <c r="E281" s="2">
        <v>0</v>
      </c>
      <c r="F281">
        <v>0</v>
      </c>
      <c r="G281">
        <v>0</v>
      </c>
      <c r="H281">
        <v>0</v>
      </c>
      <c r="I281" t="s">
        <v>32</v>
      </c>
      <c r="J281">
        <v>0</v>
      </c>
      <c r="M281" t="s">
        <v>41</v>
      </c>
      <c r="N281">
        <v>0</v>
      </c>
      <c r="R281" t="s">
        <v>40</v>
      </c>
      <c r="S281">
        <v>0</v>
      </c>
    </row>
    <row r="282" spans="1:19" x14ac:dyDescent="0.25">
      <c r="A282" t="s">
        <v>42</v>
      </c>
      <c r="B282">
        <v>5</v>
      </c>
      <c r="C282" t="s">
        <v>30</v>
      </c>
      <c r="D282" t="s">
        <v>47</v>
      </c>
      <c r="E282" s="2">
        <v>0</v>
      </c>
      <c r="F282">
        <v>0</v>
      </c>
      <c r="G282">
        <v>0</v>
      </c>
      <c r="H282">
        <v>0</v>
      </c>
      <c r="I282" t="s">
        <v>32</v>
      </c>
      <c r="J282">
        <v>0</v>
      </c>
      <c r="M282" t="s">
        <v>41</v>
      </c>
      <c r="N282">
        <v>44</v>
      </c>
      <c r="R282" t="s">
        <v>40</v>
      </c>
      <c r="S282">
        <v>38</v>
      </c>
    </row>
    <row r="283" spans="1:19" x14ac:dyDescent="0.25">
      <c r="A283" t="s">
        <v>42</v>
      </c>
      <c r="B283">
        <v>5</v>
      </c>
      <c r="C283" t="s">
        <v>30</v>
      </c>
      <c r="D283" t="s">
        <v>47</v>
      </c>
      <c r="E283" s="2">
        <v>0</v>
      </c>
      <c r="F283">
        <v>0</v>
      </c>
      <c r="G283">
        <v>0</v>
      </c>
      <c r="H283">
        <v>0</v>
      </c>
      <c r="I283" t="s">
        <v>32</v>
      </c>
      <c r="J283">
        <v>0</v>
      </c>
      <c r="M283" t="s">
        <v>41</v>
      </c>
      <c r="N283">
        <v>66</v>
      </c>
      <c r="R283" t="s">
        <v>40</v>
      </c>
      <c r="S283">
        <v>0</v>
      </c>
    </row>
    <row r="284" spans="1:19" x14ac:dyDescent="0.25">
      <c r="A284" t="s">
        <v>42</v>
      </c>
      <c r="B284">
        <v>5</v>
      </c>
      <c r="C284" t="s">
        <v>30</v>
      </c>
      <c r="D284" t="s">
        <v>47</v>
      </c>
      <c r="E284" s="2">
        <v>0</v>
      </c>
      <c r="F284">
        <v>0</v>
      </c>
      <c r="G284">
        <v>0</v>
      </c>
      <c r="H284">
        <v>0</v>
      </c>
      <c r="I284" t="s">
        <v>32</v>
      </c>
      <c r="J284">
        <v>0</v>
      </c>
      <c r="M284" t="s">
        <v>41</v>
      </c>
      <c r="N284">
        <v>11</v>
      </c>
      <c r="R284" t="s">
        <v>40</v>
      </c>
      <c r="S284">
        <v>8</v>
      </c>
    </row>
    <row r="285" spans="1:19" x14ac:dyDescent="0.25">
      <c r="A285" t="s">
        <v>42</v>
      </c>
      <c r="B285">
        <v>5</v>
      </c>
      <c r="C285" t="s">
        <v>30</v>
      </c>
      <c r="D285" t="s">
        <v>47</v>
      </c>
      <c r="E285" s="2">
        <v>0</v>
      </c>
      <c r="F285">
        <v>0</v>
      </c>
      <c r="G285">
        <v>0</v>
      </c>
      <c r="H285">
        <v>0</v>
      </c>
      <c r="I285" t="s">
        <v>32</v>
      </c>
      <c r="J285">
        <v>0</v>
      </c>
      <c r="M285" t="s">
        <v>41</v>
      </c>
      <c r="N285">
        <v>41</v>
      </c>
      <c r="R285" t="s">
        <v>40</v>
      </c>
      <c r="S285">
        <v>7</v>
      </c>
    </row>
    <row r="286" spans="1:19" x14ac:dyDescent="0.25">
      <c r="A286" t="s">
        <v>42</v>
      </c>
      <c r="B286">
        <v>5</v>
      </c>
      <c r="C286" t="s">
        <v>30</v>
      </c>
      <c r="D286" t="s">
        <v>47</v>
      </c>
      <c r="E286" s="2">
        <v>0</v>
      </c>
      <c r="F286">
        <v>0</v>
      </c>
      <c r="G286">
        <v>0</v>
      </c>
      <c r="H286">
        <v>0</v>
      </c>
      <c r="I286" t="s">
        <v>32</v>
      </c>
      <c r="J286">
        <v>0</v>
      </c>
      <c r="M286" t="s">
        <v>41</v>
      </c>
      <c r="N286">
        <v>43</v>
      </c>
      <c r="R286" t="s">
        <v>40</v>
      </c>
      <c r="S286">
        <v>51</v>
      </c>
    </row>
    <row r="287" spans="1:19" x14ac:dyDescent="0.25">
      <c r="A287" t="s">
        <v>42</v>
      </c>
      <c r="B287">
        <v>5</v>
      </c>
      <c r="C287" t="s">
        <v>30</v>
      </c>
      <c r="D287" t="s">
        <v>47</v>
      </c>
      <c r="E287" s="2">
        <v>0</v>
      </c>
      <c r="F287">
        <v>0</v>
      </c>
      <c r="G287">
        <v>0</v>
      </c>
      <c r="H287">
        <v>0</v>
      </c>
      <c r="I287" t="s">
        <v>32</v>
      </c>
      <c r="J287">
        <v>0</v>
      </c>
      <c r="M287" t="s">
        <v>41</v>
      </c>
      <c r="N287">
        <v>0</v>
      </c>
      <c r="R287" t="s">
        <v>40</v>
      </c>
      <c r="S287">
        <v>6</v>
      </c>
    </row>
    <row r="288" spans="1:19" x14ac:dyDescent="0.25">
      <c r="A288" t="s">
        <v>42</v>
      </c>
      <c r="B288">
        <v>5</v>
      </c>
      <c r="C288" t="s">
        <v>30</v>
      </c>
      <c r="D288" t="s">
        <v>47</v>
      </c>
      <c r="E288" s="2">
        <v>0</v>
      </c>
      <c r="F288">
        <v>0</v>
      </c>
      <c r="G288">
        <v>0</v>
      </c>
      <c r="H288">
        <v>0</v>
      </c>
      <c r="I288" t="s">
        <v>32</v>
      </c>
      <c r="J288">
        <v>0</v>
      </c>
      <c r="M288" t="s">
        <v>41</v>
      </c>
      <c r="N288">
        <v>25</v>
      </c>
      <c r="R288" t="s">
        <v>43</v>
      </c>
      <c r="S288">
        <v>52</v>
      </c>
    </row>
    <row r="289" spans="1:19" x14ac:dyDescent="0.25">
      <c r="A289" t="s">
        <v>42</v>
      </c>
      <c r="B289">
        <v>5</v>
      </c>
      <c r="C289" t="s">
        <v>30</v>
      </c>
      <c r="D289" t="s">
        <v>47</v>
      </c>
      <c r="E289" s="2">
        <v>0</v>
      </c>
      <c r="F289">
        <v>0</v>
      </c>
      <c r="G289">
        <v>0</v>
      </c>
      <c r="H289">
        <v>0</v>
      </c>
      <c r="I289" t="s">
        <v>32</v>
      </c>
      <c r="J289">
        <v>0</v>
      </c>
      <c r="M289" t="s">
        <v>41</v>
      </c>
      <c r="N289">
        <v>62</v>
      </c>
      <c r="R289" t="s">
        <v>43</v>
      </c>
      <c r="S289">
        <v>121</v>
      </c>
    </row>
    <row r="290" spans="1:19" x14ac:dyDescent="0.25">
      <c r="A290" t="s">
        <v>42</v>
      </c>
      <c r="B290">
        <v>5</v>
      </c>
      <c r="C290" t="s">
        <v>30</v>
      </c>
      <c r="D290" t="s">
        <v>47</v>
      </c>
      <c r="E290" s="2">
        <v>0</v>
      </c>
      <c r="F290">
        <v>0</v>
      </c>
      <c r="G290">
        <v>0</v>
      </c>
      <c r="H290">
        <v>0</v>
      </c>
      <c r="I290" t="s">
        <v>32</v>
      </c>
      <c r="J290">
        <v>0</v>
      </c>
      <c r="M290" t="s">
        <v>41</v>
      </c>
      <c r="N290">
        <v>8</v>
      </c>
      <c r="R290" t="s">
        <v>43</v>
      </c>
      <c r="S290">
        <v>12</v>
      </c>
    </row>
    <row r="291" spans="1:19" x14ac:dyDescent="0.25">
      <c r="A291" t="s">
        <v>42</v>
      </c>
      <c r="B291">
        <v>5</v>
      </c>
      <c r="C291" t="s">
        <v>30</v>
      </c>
      <c r="D291" t="s">
        <v>47</v>
      </c>
      <c r="E291" s="2">
        <v>0</v>
      </c>
      <c r="F291">
        <v>0</v>
      </c>
      <c r="G291">
        <v>0</v>
      </c>
      <c r="H291">
        <v>0</v>
      </c>
      <c r="I291" t="s">
        <v>32</v>
      </c>
      <c r="J291">
        <v>0</v>
      </c>
      <c r="M291" t="s">
        <v>41</v>
      </c>
      <c r="N291">
        <v>28</v>
      </c>
      <c r="R291" t="s">
        <v>43</v>
      </c>
      <c r="S291">
        <v>56</v>
      </c>
    </row>
    <row r="292" spans="1:19" x14ac:dyDescent="0.25">
      <c r="A292" t="s">
        <v>42</v>
      </c>
      <c r="B292">
        <v>5</v>
      </c>
      <c r="C292" t="s">
        <v>30</v>
      </c>
      <c r="D292" t="s">
        <v>47</v>
      </c>
      <c r="E292" s="2">
        <v>0</v>
      </c>
      <c r="F292">
        <v>0</v>
      </c>
      <c r="G292">
        <v>0</v>
      </c>
      <c r="H292">
        <v>0</v>
      </c>
      <c r="I292" t="s">
        <v>32</v>
      </c>
      <c r="J292">
        <v>0</v>
      </c>
      <c r="M292" t="s">
        <v>41</v>
      </c>
      <c r="N292">
        <v>6</v>
      </c>
      <c r="R292" t="s">
        <v>43</v>
      </c>
      <c r="S292">
        <v>15</v>
      </c>
    </row>
    <row r="293" spans="1:19" x14ac:dyDescent="0.25">
      <c r="A293" t="s">
        <v>42</v>
      </c>
      <c r="B293">
        <v>5</v>
      </c>
      <c r="C293" t="s">
        <v>30</v>
      </c>
      <c r="D293" t="s">
        <v>47</v>
      </c>
      <c r="E293" s="2">
        <v>0</v>
      </c>
      <c r="F293">
        <v>0</v>
      </c>
      <c r="G293">
        <v>0</v>
      </c>
      <c r="H293">
        <v>0</v>
      </c>
      <c r="I293" t="s">
        <v>32</v>
      </c>
      <c r="J293">
        <v>0</v>
      </c>
      <c r="M293" t="s">
        <v>41</v>
      </c>
      <c r="N293">
        <v>56</v>
      </c>
      <c r="R293" t="s">
        <v>43</v>
      </c>
      <c r="S293">
        <v>12</v>
      </c>
    </row>
    <row r="294" spans="1:19" x14ac:dyDescent="0.25">
      <c r="A294" t="s">
        <v>42</v>
      </c>
      <c r="B294">
        <v>5</v>
      </c>
      <c r="C294" t="s">
        <v>30</v>
      </c>
      <c r="D294" t="s">
        <v>47</v>
      </c>
      <c r="E294" s="2">
        <v>0</v>
      </c>
      <c r="F294">
        <v>0</v>
      </c>
      <c r="G294">
        <v>0</v>
      </c>
      <c r="H294">
        <v>0</v>
      </c>
      <c r="I294" t="s">
        <v>32</v>
      </c>
      <c r="J294">
        <v>0</v>
      </c>
      <c r="M294" t="s">
        <v>41</v>
      </c>
      <c r="N294">
        <v>0</v>
      </c>
      <c r="R294" t="s">
        <v>43</v>
      </c>
      <c r="S294">
        <v>33</v>
      </c>
    </row>
    <row r="295" spans="1:19" x14ac:dyDescent="0.25">
      <c r="A295" t="s">
        <v>42</v>
      </c>
      <c r="B295">
        <v>5</v>
      </c>
      <c r="C295" t="s">
        <v>34</v>
      </c>
      <c r="D295" t="s">
        <v>48</v>
      </c>
      <c r="E295" s="2">
        <v>0</v>
      </c>
      <c r="F295">
        <v>0</v>
      </c>
      <c r="G295">
        <v>0</v>
      </c>
      <c r="H295">
        <v>0</v>
      </c>
      <c r="I295" t="s">
        <v>32</v>
      </c>
      <c r="J295">
        <v>0</v>
      </c>
      <c r="M295" t="s">
        <v>41</v>
      </c>
      <c r="N295">
        <v>11</v>
      </c>
      <c r="R295" t="s">
        <v>43</v>
      </c>
      <c r="S295">
        <v>8</v>
      </c>
    </row>
    <row r="296" spans="1:19" x14ac:dyDescent="0.25">
      <c r="A296" t="s">
        <v>42</v>
      </c>
      <c r="B296">
        <v>5</v>
      </c>
      <c r="C296" t="s">
        <v>34</v>
      </c>
      <c r="D296" t="s">
        <v>48</v>
      </c>
      <c r="E296" s="2">
        <v>0</v>
      </c>
      <c r="F296">
        <v>0</v>
      </c>
      <c r="G296">
        <v>0</v>
      </c>
      <c r="H296">
        <v>0</v>
      </c>
      <c r="I296" t="s">
        <v>32</v>
      </c>
      <c r="J296">
        <v>0</v>
      </c>
      <c r="M296" t="s">
        <v>44</v>
      </c>
      <c r="N296">
        <v>64</v>
      </c>
      <c r="R296" t="s">
        <v>43</v>
      </c>
      <c r="S296">
        <v>14</v>
      </c>
    </row>
    <row r="297" spans="1:19" x14ac:dyDescent="0.25">
      <c r="A297" t="s">
        <v>42</v>
      </c>
      <c r="B297">
        <v>5</v>
      </c>
      <c r="C297" t="s">
        <v>34</v>
      </c>
      <c r="D297" t="s">
        <v>48</v>
      </c>
      <c r="E297" s="2">
        <v>0</v>
      </c>
      <c r="F297">
        <v>0</v>
      </c>
      <c r="G297">
        <v>0</v>
      </c>
      <c r="H297">
        <v>0</v>
      </c>
      <c r="I297" t="s">
        <v>32</v>
      </c>
      <c r="J297">
        <v>0</v>
      </c>
      <c r="M297" t="s">
        <v>44</v>
      </c>
      <c r="N297">
        <v>0</v>
      </c>
      <c r="R297" t="s">
        <v>43</v>
      </c>
      <c r="S297">
        <v>10</v>
      </c>
    </row>
    <row r="298" spans="1:19" x14ac:dyDescent="0.25">
      <c r="A298" t="s">
        <v>42</v>
      </c>
      <c r="B298">
        <v>5</v>
      </c>
      <c r="C298" t="s">
        <v>34</v>
      </c>
      <c r="D298" t="s">
        <v>48</v>
      </c>
      <c r="E298" s="2">
        <v>0</v>
      </c>
      <c r="F298">
        <v>0</v>
      </c>
      <c r="G298">
        <v>0</v>
      </c>
      <c r="H298">
        <v>0</v>
      </c>
      <c r="I298" t="s">
        <v>32</v>
      </c>
      <c r="J298">
        <v>0</v>
      </c>
      <c r="M298" t="s">
        <v>44</v>
      </c>
      <c r="N298">
        <v>0</v>
      </c>
      <c r="R298" t="s">
        <v>43</v>
      </c>
      <c r="S298">
        <v>0</v>
      </c>
    </row>
    <row r="299" spans="1:19" x14ac:dyDescent="0.25">
      <c r="A299" t="s">
        <v>42</v>
      </c>
      <c r="B299">
        <v>5</v>
      </c>
      <c r="C299" t="s">
        <v>34</v>
      </c>
      <c r="D299" t="s">
        <v>48</v>
      </c>
      <c r="E299" s="2">
        <v>0</v>
      </c>
      <c r="F299">
        <v>0</v>
      </c>
      <c r="G299">
        <v>0</v>
      </c>
      <c r="H299">
        <v>0</v>
      </c>
      <c r="I299" t="s">
        <v>32</v>
      </c>
      <c r="J299">
        <v>0</v>
      </c>
      <c r="M299" t="s">
        <v>44</v>
      </c>
      <c r="N299">
        <v>0</v>
      </c>
      <c r="R299" t="s">
        <v>43</v>
      </c>
      <c r="S299">
        <v>0</v>
      </c>
    </row>
    <row r="300" spans="1:19" x14ac:dyDescent="0.25">
      <c r="A300" t="s">
        <v>42</v>
      </c>
      <c r="B300">
        <v>5</v>
      </c>
      <c r="C300" t="s">
        <v>34</v>
      </c>
      <c r="D300" t="s">
        <v>48</v>
      </c>
      <c r="E300" s="2">
        <v>0</v>
      </c>
      <c r="F300">
        <v>0</v>
      </c>
      <c r="G300">
        <v>0</v>
      </c>
      <c r="H300">
        <v>0</v>
      </c>
      <c r="I300" t="s">
        <v>32</v>
      </c>
      <c r="J300">
        <v>0</v>
      </c>
      <c r="M300" t="s">
        <v>44</v>
      </c>
      <c r="N300">
        <v>0</v>
      </c>
      <c r="R300" t="s">
        <v>43</v>
      </c>
      <c r="S300">
        <v>22</v>
      </c>
    </row>
    <row r="301" spans="1:19" x14ac:dyDescent="0.25">
      <c r="A301" t="s">
        <v>42</v>
      </c>
      <c r="B301">
        <v>5</v>
      </c>
      <c r="C301" t="s">
        <v>34</v>
      </c>
      <c r="D301" t="s">
        <v>48</v>
      </c>
      <c r="E301" s="2">
        <v>0</v>
      </c>
      <c r="F301">
        <v>0</v>
      </c>
      <c r="G301">
        <v>0</v>
      </c>
      <c r="H301">
        <v>0</v>
      </c>
      <c r="I301" t="s">
        <v>32</v>
      </c>
      <c r="J301">
        <v>0</v>
      </c>
      <c r="M301" t="s">
        <v>44</v>
      </c>
      <c r="N301">
        <v>0</v>
      </c>
      <c r="R301" t="s">
        <v>43</v>
      </c>
      <c r="S301">
        <v>0</v>
      </c>
    </row>
    <row r="302" spans="1:19" x14ac:dyDescent="0.25">
      <c r="A302" t="s">
        <v>42</v>
      </c>
      <c r="B302">
        <v>5</v>
      </c>
      <c r="C302" t="s">
        <v>34</v>
      </c>
      <c r="D302" t="s">
        <v>48</v>
      </c>
      <c r="E302" s="2">
        <v>0</v>
      </c>
      <c r="F302">
        <v>0</v>
      </c>
      <c r="G302">
        <v>0</v>
      </c>
      <c r="H302">
        <v>0</v>
      </c>
      <c r="I302" t="s">
        <v>32</v>
      </c>
      <c r="J302">
        <v>0</v>
      </c>
      <c r="M302" t="s">
        <v>44</v>
      </c>
      <c r="N302">
        <v>124</v>
      </c>
      <c r="R302" t="s">
        <v>43</v>
      </c>
      <c r="S302">
        <v>0</v>
      </c>
    </row>
    <row r="303" spans="1:19" x14ac:dyDescent="0.25">
      <c r="A303" t="s">
        <v>42</v>
      </c>
      <c r="B303">
        <v>5</v>
      </c>
      <c r="C303" t="s">
        <v>34</v>
      </c>
      <c r="D303" t="s">
        <v>48</v>
      </c>
      <c r="E303" s="2">
        <v>0</v>
      </c>
      <c r="F303">
        <v>0</v>
      </c>
      <c r="G303">
        <v>0</v>
      </c>
      <c r="H303">
        <v>0</v>
      </c>
      <c r="I303" t="s">
        <v>32</v>
      </c>
      <c r="J303">
        <v>0</v>
      </c>
      <c r="M303" t="s">
        <v>44</v>
      </c>
      <c r="N303">
        <v>22</v>
      </c>
      <c r="R303" t="s">
        <v>43</v>
      </c>
      <c r="S303">
        <v>0</v>
      </c>
    </row>
    <row r="304" spans="1:19" x14ac:dyDescent="0.25">
      <c r="A304" t="s">
        <v>42</v>
      </c>
      <c r="B304">
        <v>5</v>
      </c>
      <c r="C304" t="s">
        <v>34</v>
      </c>
      <c r="D304" t="s">
        <v>48</v>
      </c>
      <c r="E304" s="2">
        <v>0</v>
      </c>
      <c r="F304">
        <v>0</v>
      </c>
      <c r="G304">
        <v>0</v>
      </c>
      <c r="H304">
        <v>0</v>
      </c>
      <c r="I304" t="s">
        <v>32</v>
      </c>
      <c r="J304">
        <v>0</v>
      </c>
      <c r="M304" t="s">
        <v>44</v>
      </c>
      <c r="N304">
        <v>4</v>
      </c>
      <c r="R304" t="s">
        <v>43</v>
      </c>
      <c r="S304">
        <v>0</v>
      </c>
    </row>
    <row r="305" spans="1:19" x14ac:dyDescent="0.25">
      <c r="A305" t="s">
        <v>42</v>
      </c>
      <c r="B305">
        <v>5</v>
      </c>
      <c r="C305" t="s">
        <v>34</v>
      </c>
      <c r="D305" t="s">
        <v>48</v>
      </c>
      <c r="E305" s="2">
        <v>0</v>
      </c>
      <c r="F305">
        <v>0</v>
      </c>
      <c r="G305">
        <v>0</v>
      </c>
      <c r="H305">
        <v>0</v>
      </c>
      <c r="I305" t="s">
        <v>32</v>
      </c>
      <c r="J305">
        <v>0</v>
      </c>
      <c r="M305" t="s">
        <v>44</v>
      </c>
      <c r="N305">
        <v>13</v>
      </c>
      <c r="R305" t="s">
        <v>43</v>
      </c>
      <c r="S305">
        <v>4</v>
      </c>
    </row>
    <row r="306" spans="1:19" x14ac:dyDescent="0.25">
      <c r="A306" t="s">
        <v>42</v>
      </c>
      <c r="B306">
        <v>5</v>
      </c>
      <c r="C306" t="s">
        <v>34</v>
      </c>
      <c r="D306" t="s">
        <v>48</v>
      </c>
      <c r="E306" s="2">
        <v>0</v>
      </c>
      <c r="F306">
        <v>0</v>
      </c>
      <c r="G306">
        <v>0</v>
      </c>
      <c r="H306">
        <v>0</v>
      </c>
      <c r="I306" t="s">
        <v>32</v>
      </c>
      <c r="J306">
        <v>0</v>
      </c>
      <c r="M306" t="s">
        <v>44</v>
      </c>
      <c r="N306">
        <v>0</v>
      </c>
      <c r="R306" t="s">
        <v>43</v>
      </c>
      <c r="S306">
        <v>142</v>
      </c>
    </row>
    <row r="307" spans="1:19" x14ac:dyDescent="0.25">
      <c r="A307" t="s">
        <v>42</v>
      </c>
      <c r="B307">
        <v>5</v>
      </c>
      <c r="C307" t="s">
        <v>34</v>
      </c>
      <c r="D307" t="s">
        <v>48</v>
      </c>
      <c r="E307" s="2">
        <v>0</v>
      </c>
      <c r="F307">
        <v>0</v>
      </c>
      <c r="G307">
        <v>0</v>
      </c>
      <c r="H307">
        <v>0</v>
      </c>
      <c r="I307" t="s">
        <v>32</v>
      </c>
      <c r="J307">
        <v>0</v>
      </c>
      <c r="M307" t="s">
        <v>44</v>
      </c>
      <c r="N307">
        <v>0</v>
      </c>
      <c r="R307" t="s">
        <v>43</v>
      </c>
      <c r="S307">
        <v>16</v>
      </c>
    </row>
    <row r="308" spans="1:19" x14ac:dyDescent="0.25">
      <c r="A308" t="s">
        <v>42</v>
      </c>
      <c r="B308">
        <v>5</v>
      </c>
      <c r="C308" t="s">
        <v>34</v>
      </c>
      <c r="D308" t="s">
        <v>48</v>
      </c>
      <c r="E308" s="2">
        <v>0</v>
      </c>
      <c r="F308">
        <v>0</v>
      </c>
      <c r="G308">
        <v>0</v>
      </c>
      <c r="H308">
        <v>0</v>
      </c>
      <c r="I308" t="s">
        <v>32</v>
      </c>
      <c r="J308">
        <v>0</v>
      </c>
      <c r="M308" t="s">
        <v>44</v>
      </c>
      <c r="N308">
        <v>0</v>
      </c>
      <c r="R308" t="s">
        <v>43</v>
      </c>
      <c r="S308">
        <v>20</v>
      </c>
    </row>
    <row r="309" spans="1:19" x14ac:dyDescent="0.25">
      <c r="A309" t="s">
        <v>42</v>
      </c>
      <c r="B309">
        <v>5</v>
      </c>
      <c r="C309" t="s">
        <v>34</v>
      </c>
      <c r="D309" t="s">
        <v>48</v>
      </c>
      <c r="E309" s="2">
        <v>0</v>
      </c>
      <c r="F309">
        <v>0</v>
      </c>
      <c r="G309">
        <v>0</v>
      </c>
      <c r="H309">
        <v>0</v>
      </c>
      <c r="I309" t="s">
        <v>32</v>
      </c>
      <c r="J309">
        <v>0</v>
      </c>
      <c r="M309" t="s">
        <v>44</v>
      </c>
      <c r="N309">
        <v>44</v>
      </c>
      <c r="R309" t="s">
        <v>43</v>
      </c>
      <c r="S309">
        <v>5</v>
      </c>
    </row>
    <row r="310" spans="1:19" x14ac:dyDescent="0.25">
      <c r="A310" t="s">
        <v>42</v>
      </c>
      <c r="B310">
        <v>5</v>
      </c>
      <c r="C310" t="s">
        <v>34</v>
      </c>
      <c r="D310" t="s">
        <v>48</v>
      </c>
      <c r="E310" s="2">
        <v>0</v>
      </c>
      <c r="F310">
        <v>0</v>
      </c>
      <c r="G310">
        <v>0</v>
      </c>
      <c r="H310">
        <v>0</v>
      </c>
      <c r="I310" t="s">
        <v>32</v>
      </c>
      <c r="J310">
        <v>0</v>
      </c>
      <c r="M310" t="s">
        <v>44</v>
      </c>
      <c r="N310">
        <v>42</v>
      </c>
      <c r="R310" t="s">
        <v>43</v>
      </c>
      <c r="S310">
        <v>9</v>
      </c>
    </row>
    <row r="311" spans="1:19" x14ac:dyDescent="0.25">
      <c r="A311" t="s">
        <v>42</v>
      </c>
      <c r="B311">
        <v>5</v>
      </c>
      <c r="C311" t="s">
        <v>34</v>
      </c>
      <c r="D311" t="s">
        <v>48</v>
      </c>
      <c r="E311" s="2">
        <v>0</v>
      </c>
      <c r="F311">
        <v>0</v>
      </c>
      <c r="G311">
        <v>0</v>
      </c>
      <c r="H311">
        <v>0</v>
      </c>
      <c r="I311" t="s">
        <v>32</v>
      </c>
      <c r="J311">
        <v>0</v>
      </c>
      <c r="M311" t="s">
        <v>44</v>
      </c>
      <c r="N311">
        <v>43</v>
      </c>
      <c r="R311" t="s">
        <v>43</v>
      </c>
      <c r="S311">
        <v>10</v>
      </c>
    </row>
    <row r="312" spans="1:19" x14ac:dyDescent="0.25">
      <c r="A312" t="s">
        <v>42</v>
      </c>
      <c r="B312">
        <v>5</v>
      </c>
      <c r="C312" t="s">
        <v>34</v>
      </c>
      <c r="D312" t="s">
        <v>48</v>
      </c>
      <c r="E312" s="2">
        <v>0</v>
      </c>
      <c r="F312">
        <v>0</v>
      </c>
      <c r="G312">
        <v>0</v>
      </c>
      <c r="H312">
        <v>0</v>
      </c>
      <c r="I312" t="s">
        <v>32</v>
      </c>
      <c r="J312">
        <v>0</v>
      </c>
      <c r="M312" t="s">
        <v>44</v>
      </c>
      <c r="N312">
        <v>102</v>
      </c>
      <c r="R312" t="s">
        <v>43</v>
      </c>
      <c r="S312">
        <v>0</v>
      </c>
    </row>
    <row r="313" spans="1:19" x14ac:dyDescent="0.25">
      <c r="A313" t="s">
        <v>42</v>
      </c>
      <c r="B313">
        <v>5</v>
      </c>
      <c r="C313" t="s">
        <v>34</v>
      </c>
      <c r="D313" t="s">
        <v>48</v>
      </c>
      <c r="E313" s="2">
        <v>0</v>
      </c>
      <c r="F313">
        <v>0</v>
      </c>
      <c r="G313">
        <v>0</v>
      </c>
      <c r="H313">
        <v>0</v>
      </c>
      <c r="I313" t="s">
        <v>32</v>
      </c>
      <c r="J313">
        <v>0</v>
      </c>
      <c r="M313" t="s">
        <v>44</v>
      </c>
      <c r="N313">
        <v>12</v>
      </c>
      <c r="R313" t="s">
        <v>43</v>
      </c>
      <c r="S313">
        <v>16</v>
      </c>
    </row>
    <row r="314" spans="1:19" x14ac:dyDescent="0.25">
      <c r="A314" t="s">
        <v>42</v>
      </c>
      <c r="B314">
        <v>5</v>
      </c>
      <c r="C314" t="s">
        <v>34</v>
      </c>
      <c r="D314" t="s">
        <v>48</v>
      </c>
      <c r="E314" s="2">
        <v>0</v>
      </c>
      <c r="F314">
        <v>0</v>
      </c>
      <c r="G314">
        <v>0</v>
      </c>
      <c r="H314">
        <v>0</v>
      </c>
      <c r="I314" t="s">
        <v>32</v>
      </c>
      <c r="J314">
        <v>0</v>
      </c>
      <c r="M314" t="s">
        <v>44</v>
      </c>
      <c r="N314">
        <v>21</v>
      </c>
      <c r="R314" t="s">
        <v>43</v>
      </c>
      <c r="S314">
        <v>140</v>
      </c>
    </row>
    <row r="315" spans="1:19" x14ac:dyDescent="0.25">
      <c r="A315" t="s">
        <v>42</v>
      </c>
      <c r="B315">
        <v>5</v>
      </c>
      <c r="C315" t="s">
        <v>34</v>
      </c>
      <c r="D315" t="s">
        <v>48</v>
      </c>
      <c r="E315" s="2">
        <v>0</v>
      </c>
      <c r="F315">
        <v>0</v>
      </c>
      <c r="G315">
        <v>0</v>
      </c>
      <c r="H315">
        <v>0</v>
      </c>
      <c r="I315" t="s">
        <v>32</v>
      </c>
      <c r="J315">
        <v>0</v>
      </c>
      <c r="M315" t="s">
        <v>44</v>
      </c>
      <c r="N315">
        <v>77</v>
      </c>
      <c r="R315" t="s">
        <v>43</v>
      </c>
      <c r="S315">
        <v>0</v>
      </c>
    </row>
    <row r="316" spans="1:19" x14ac:dyDescent="0.25">
      <c r="A316" t="s">
        <v>42</v>
      </c>
      <c r="B316">
        <v>5</v>
      </c>
      <c r="C316" t="s">
        <v>34</v>
      </c>
      <c r="D316" t="s">
        <v>48</v>
      </c>
      <c r="E316" s="2">
        <v>0</v>
      </c>
      <c r="F316">
        <v>0</v>
      </c>
      <c r="G316">
        <v>0</v>
      </c>
      <c r="H316">
        <v>0</v>
      </c>
      <c r="I316" t="s">
        <v>32</v>
      </c>
      <c r="J316">
        <v>0</v>
      </c>
      <c r="M316" t="s">
        <v>44</v>
      </c>
      <c r="N316">
        <v>99</v>
      </c>
      <c r="R316" t="s">
        <v>43</v>
      </c>
      <c r="S316">
        <v>7</v>
      </c>
    </row>
    <row r="317" spans="1:19" x14ac:dyDescent="0.25">
      <c r="A317" t="s">
        <v>42</v>
      </c>
      <c r="B317">
        <v>5</v>
      </c>
      <c r="C317" t="s">
        <v>34</v>
      </c>
      <c r="D317" t="s">
        <v>48</v>
      </c>
      <c r="E317" s="2">
        <v>0</v>
      </c>
      <c r="F317">
        <v>0</v>
      </c>
      <c r="G317">
        <v>0</v>
      </c>
      <c r="H317">
        <v>0</v>
      </c>
      <c r="I317" t="s">
        <v>32</v>
      </c>
      <c r="J317">
        <v>0</v>
      </c>
      <c r="M317" t="s">
        <v>44</v>
      </c>
      <c r="N317">
        <v>103</v>
      </c>
      <c r="R317" t="s">
        <v>43</v>
      </c>
      <c r="S317">
        <v>68</v>
      </c>
    </row>
    <row r="318" spans="1:19" x14ac:dyDescent="0.25">
      <c r="A318" t="s">
        <v>42</v>
      </c>
      <c r="B318">
        <v>5</v>
      </c>
      <c r="C318" t="s">
        <v>34</v>
      </c>
      <c r="D318" t="s">
        <v>48</v>
      </c>
      <c r="E318" s="2">
        <v>0</v>
      </c>
      <c r="F318">
        <v>0</v>
      </c>
      <c r="G318">
        <v>0</v>
      </c>
      <c r="H318">
        <v>0</v>
      </c>
      <c r="I318" t="s">
        <v>32</v>
      </c>
      <c r="J318">
        <v>0</v>
      </c>
      <c r="M318" t="s">
        <v>44</v>
      </c>
      <c r="N318">
        <v>33</v>
      </c>
      <c r="R318" t="s">
        <v>43</v>
      </c>
      <c r="S318">
        <v>13</v>
      </c>
    </row>
    <row r="319" spans="1:19" x14ac:dyDescent="0.25">
      <c r="A319" t="s">
        <v>42</v>
      </c>
      <c r="B319">
        <v>5</v>
      </c>
      <c r="C319" t="s">
        <v>34</v>
      </c>
      <c r="D319" t="s">
        <v>48</v>
      </c>
      <c r="E319" s="2">
        <v>0</v>
      </c>
      <c r="F319">
        <v>0</v>
      </c>
      <c r="G319">
        <v>0</v>
      </c>
      <c r="H319">
        <v>0</v>
      </c>
      <c r="I319" t="s">
        <v>32</v>
      </c>
      <c r="J319">
        <v>0</v>
      </c>
      <c r="M319" t="s">
        <v>44</v>
      </c>
      <c r="N319">
        <v>0</v>
      </c>
      <c r="R319" t="s">
        <v>43</v>
      </c>
      <c r="S319">
        <v>13</v>
      </c>
    </row>
    <row r="320" spans="1:19" x14ac:dyDescent="0.25">
      <c r="A320" t="s">
        <v>42</v>
      </c>
      <c r="B320">
        <v>5</v>
      </c>
      <c r="C320" t="s">
        <v>34</v>
      </c>
      <c r="D320" t="s">
        <v>48</v>
      </c>
      <c r="E320" s="2">
        <v>0</v>
      </c>
      <c r="F320">
        <v>0</v>
      </c>
      <c r="G320">
        <v>0</v>
      </c>
      <c r="H320">
        <v>0</v>
      </c>
      <c r="I320" t="s">
        <v>32</v>
      </c>
      <c r="J320">
        <v>0</v>
      </c>
      <c r="M320" t="s">
        <v>44</v>
      </c>
      <c r="N320">
        <v>0</v>
      </c>
      <c r="R320" t="s">
        <v>43</v>
      </c>
      <c r="S320">
        <v>9</v>
      </c>
    </row>
    <row r="321" spans="1:19" x14ac:dyDescent="0.25">
      <c r="A321" t="s">
        <v>42</v>
      </c>
      <c r="B321">
        <v>5</v>
      </c>
      <c r="C321" t="s">
        <v>34</v>
      </c>
      <c r="D321" t="s">
        <v>48</v>
      </c>
      <c r="E321" s="2">
        <v>0</v>
      </c>
      <c r="F321">
        <v>0</v>
      </c>
      <c r="G321">
        <v>0</v>
      </c>
      <c r="H321">
        <v>0</v>
      </c>
      <c r="I321" t="s">
        <v>32</v>
      </c>
      <c r="J321">
        <v>0</v>
      </c>
      <c r="M321" t="s">
        <v>44</v>
      </c>
      <c r="N321">
        <v>0</v>
      </c>
      <c r="R321" t="s">
        <v>43</v>
      </c>
      <c r="S321">
        <v>93</v>
      </c>
    </row>
    <row r="322" spans="1:19" x14ac:dyDescent="0.25">
      <c r="A322" t="s">
        <v>42</v>
      </c>
      <c r="B322">
        <v>5</v>
      </c>
      <c r="C322" t="s">
        <v>34</v>
      </c>
      <c r="D322" t="s">
        <v>48</v>
      </c>
      <c r="E322" s="2">
        <v>0</v>
      </c>
      <c r="F322">
        <v>0</v>
      </c>
      <c r="G322">
        <v>0</v>
      </c>
      <c r="H322">
        <v>0</v>
      </c>
      <c r="I322" t="s">
        <v>32</v>
      </c>
      <c r="J322">
        <v>0</v>
      </c>
      <c r="M322" t="s">
        <v>44</v>
      </c>
      <c r="N322">
        <v>0</v>
      </c>
      <c r="R322" t="s">
        <v>43</v>
      </c>
      <c r="S322">
        <v>0</v>
      </c>
    </row>
    <row r="323" spans="1:19" x14ac:dyDescent="0.25">
      <c r="A323" t="s">
        <v>42</v>
      </c>
      <c r="B323">
        <v>3</v>
      </c>
      <c r="C323" t="s">
        <v>30</v>
      </c>
      <c r="D323" t="s">
        <v>49</v>
      </c>
      <c r="E323" s="2">
        <v>0</v>
      </c>
      <c r="F323">
        <v>0</v>
      </c>
      <c r="G323">
        <v>0</v>
      </c>
      <c r="H323">
        <v>0</v>
      </c>
      <c r="I323" t="s">
        <v>32</v>
      </c>
      <c r="J323">
        <v>0</v>
      </c>
      <c r="M323" t="s">
        <v>44</v>
      </c>
      <c r="N323">
        <v>3</v>
      </c>
      <c r="R323" t="s">
        <v>43</v>
      </c>
      <c r="S323">
        <v>0</v>
      </c>
    </row>
    <row r="324" spans="1:19" x14ac:dyDescent="0.25">
      <c r="A324" t="s">
        <v>42</v>
      </c>
      <c r="B324">
        <v>3</v>
      </c>
      <c r="C324" t="s">
        <v>30</v>
      </c>
      <c r="D324" t="s">
        <v>49</v>
      </c>
      <c r="E324" s="2">
        <v>0</v>
      </c>
      <c r="F324">
        <v>0</v>
      </c>
      <c r="G324">
        <v>0</v>
      </c>
      <c r="H324">
        <v>0</v>
      </c>
      <c r="I324" t="s">
        <v>32</v>
      </c>
      <c r="J324">
        <v>0</v>
      </c>
      <c r="M324" t="s">
        <v>44</v>
      </c>
      <c r="N324">
        <v>0</v>
      </c>
      <c r="R324" t="s">
        <v>43</v>
      </c>
      <c r="S324">
        <v>12</v>
      </c>
    </row>
    <row r="325" spans="1:19" x14ac:dyDescent="0.25">
      <c r="A325" t="s">
        <v>42</v>
      </c>
      <c r="B325">
        <v>3</v>
      </c>
      <c r="C325" t="s">
        <v>30</v>
      </c>
      <c r="D325" t="s">
        <v>49</v>
      </c>
      <c r="E325" s="2">
        <v>0</v>
      </c>
      <c r="F325">
        <v>0</v>
      </c>
      <c r="G325">
        <v>0</v>
      </c>
      <c r="H325">
        <v>0</v>
      </c>
      <c r="I325" t="s">
        <v>32</v>
      </c>
      <c r="J325">
        <v>0</v>
      </c>
      <c r="M325" t="s">
        <v>44</v>
      </c>
      <c r="N325">
        <v>8</v>
      </c>
      <c r="R325" t="s">
        <v>43</v>
      </c>
      <c r="S325">
        <v>6</v>
      </c>
    </row>
    <row r="326" spans="1:19" x14ac:dyDescent="0.25">
      <c r="A326" t="s">
        <v>42</v>
      </c>
      <c r="B326">
        <v>3</v>
      </c>
      <c r="C326" t="s">
        <v>30</v>
      </c>
      <c r="D326" t="s">
        <v>49</v>
      </c>
      <c r="E326" s="2">
        <v>0</v>
      </c>
      <c r="F326">
        <v>0</v>
      </c>
      <c r="G326">
        <v>0</v>
      </c>
      <c r="H326">
        <v>0</v>
      </c>
      <c r="I326" t="s">
        <v>32</v>
      </c>
      <c r="J326">
        <v>0</v>
      </c>
      <c r="M326" t="s">
        <v>44</v>
      </c>
      <c r="N326">
        <v>0</v>
      </c>
      <c r="R326" t="s">
        <v>45</v>
      </c>
      <c r="S326">
        <v>74</v>
      </c>
    </row>
    <row r="327" spans="1:19" x14ac:dyDescent="0.25">
      <c r="A327" t="s">
        <v>42</v>
      </c>
      <c r="B327">
        <v>3</v>
      </c>
      <c r="C327" t="s">
        <v>30</v>
      </c>
      <c r="D327" t="s">
        <v>49</v>
      </c>
      <c r="E327" s="2">
        <v>0</v>
      </c>
      <c r="F327">
        <v>0</v>
      </c>
      <c r="G327">
        <v>0</v>
      </c>
      <c r="H327">
        <v>0</v>
      </c>
      <c r="I327" t="s">
        <v>32</v>
      </c>
      <c r="J327">
        <v>0</v>
      </c>
      <c r="M327" t="s">
        <v>44</v>
      </c>
      <c r="N327">
        <v>6</v>
      </c>
      <c r="R327" t="s">
        <v>45</v>
      </c>
      <c r="S327">
        <v>153</v>
      </c>
    </row>
    <row r="328" spans="1:19" x14ac:dyDescent="0.25">
      <c r="A328" t="s">
        <v>42</v>
      </c>
      <c r="B328">
        <v>3</v>
      </c>
      <c r="C328" t="s">
        <v>30</v>
      </c>
      <c r="D328" t="s">
        <v>49</v>
      </c>
      <c r="E328" s="2">
        <v>0</v>
      </c>
      <c r="F328">
        <v>0</v>
      </c>
      <c r="G328">
        <v>0</v>
      </c>
      <c r="H328">
        <v>0</v>
      </c>
      <c r="I328" t="s">
        <v>32</v>
      </c>
      <c r="J328">
        <v>0</v>
      </c>
      <c r="M328" t="s">
        <v>44</v>
      </c>
      <c r="N328">
        <v>0</v>
      </c>
      <c r="R328" t="s">
        <v>45</v>
      </c>
      <c r="S328">
        <v>21</v>
      </c>
    </row>
    <row r="329" spans="1:19" x14ac:dyDescent="0.25">
      <c r="A329" t="s">
        <v>42</v>
      </c>
      <c r="B329">
        <v>3</v>
      </c>
      <c r="C329" t="s">
        <v>30</v>
      </c>
      <c r="D329" t="s">
        <v>49</v>
      </c>
      <c r="E329" s="2">
        <v>0</v>
      </c>
      <c r="F329">
        <v>0</v>
      </c>
      <c r="G329">
        <v>0</v>
      </c>
      <c r="H329">
        <v>0</v>
      </c>
      <c r="I329" t="s">
        <v>32</v>
      </c>
      <c r="J329">
        <v>0</v>
      </c>
      <c r="M329" t="s">
        <v>44</v>
      </c>
      <c r="N329">
        <v>10</v>
      </c>
      <c r="R329" t="s">
        <v>45</v>
      </c>
      <c r="S329">
        <v>32</v>
      </c>
    </row>
    <row r="330" spans="1:19" x14ac:dyDescent="0.25">
      <c r="A330" t="s">
        <v>42</v>
      </c>
      <c r="B330">
        <v>3</v>
      </c>
      <c r="C330" t="s">
        <v>30</v>
      </c>
      <c r="D330" t="s">
        <v>49</v>
      </c>
      <c r="E330" s="2">
        <v>0</v>
      </c>
      <c r="F330">
        <v>0</v>
      </c>
      <c r="G330">
        <v>0</v>
      </c>
      <c r="H330">
        <v>0</v>
      </c>
      <c r="I330" t="s">
        <v>32</v>
      </c>
      <c r="J330">
        <v>0</v>
      </c>
      <c r="M330" t="s">
        <v>44</v>
      </c>
      <c r="N330">
        <v>0</v>
      </c>
      <c r="R330" t="s">
        <v>45</v>
      </c>
      <c r="S330">
        <v>41</v>
      </c>
    </row>
    <row r="331" spans="1:19" x14ac:dyDescent="0.25">
      <c r="A331" t="s">
        <v>42</v>
      </c>
      <c r="B331">
        <v>3</v>
      </c>
      <c r="C331" t="s">
        <v>30</v>
      </c>
      <c r="D331" t="s">
        <v>49</v>
      </c>
      <c r="E331" s="2">
        <v>0</v>
      </c>
      <c r="F331">
        <v>0</v>
      </c>
      <c r="G331">
        <v>0</v>
      </c>
      <c r="H331">
        <v>0</v>
      </c>
      <c r="I331" t="s">
        <v>32</v>
      </c>
      <c r="J331">
        <v>0</v>
      </c>
      <c r="M331" t="s">
        <v>44</v>
      </c>
      <c r="N331">
        <v>123</v>
      </c>
      <c r="R331" t="s">
        <v>45</v>
      </c>
      <c r="S331">
        <v>92</v>
      </c>
    </row>
    <row r="332" spans="1:19" x14ac:dyDescent="0.25">
      <c r="A332" t="s">
        <v>42</v>
      </c>
      <c r="B332">
        <v>3</v>
      </c>
      <c r="C332" t="s">
        <v>30</v>
      </c>
      <c r="D332" t="s">
        <v>49</v>
      </c>
      <c r="E332" s="2">
        <v>0</v>
      </c>
      <c r="F332">
        <v>0</v>
      </c>
      <c r="G332">
        <v>0</v>
      </c>
      <c r="H332">
        <v>0</v>
      </c>
      <c r="I332" t="s">
        <v>32</v>
      </c>
      <c r="J332">
        <v>0</v>
      </c>
      <c r="M332" t="s">
        <v>44</v>
      </c>
      <c r="N332">
        <v>11</v>
      </c>
      <c r="R332" t="s">
        <v>45</v>
      </c>
      <c r="S332">
        <v>38</v>
      </c>
    </row>
    <row r="333" spans="1:19" x14ac:dyDescent="0.25">
      <c r="A333" t="s">
        <v>42</v>
      </c>
      <c r="B333">
        <v>3</v>
      </c>
      <c r="C333" t="s">
        <v>30</v>
      </c>
      <c r="D333" t="s">
        <v>49</v>
      </c>
      <c r="E333" s="2">
        <v>0</v>
      </c>
      <c r="F333">
        <v>0</v>
      </c>
      <c r="G333">
        <v>0</v>
      </c>
      <c r="H333">
        <v>0</v>
      </c>
      <c r="I333" t="s">
        <v>32</v>
      </c>
      <c r="J333">
        <v>0</v>
      </c>
      <c r="M333" t="s">
        <v>44</v>
      </c>
      <c r="N333">
        <v>88</v>
      </c>
      <c r="R333" t="s">
        <v>45</v>
      </c>
      <c r="S333">
        <v>18</v>
      </c>
    </row>
    <row r="334" spans="1:19" x14ac:dyDescent="0.25">
      <c r="A334" t="s">
        <v>42</v>
      </c>
      <c r="B334">
        <v>3</v>
      </c>
      <c r="C334" t="s">
        <v>30</v>
      </c>
      <c r="D334" t="s">
        <v>49</v>
      </c>
      <c r="E334" s="2">
        <v>0</v>
      </c>
      <c r="F334">
        <v>0</v>
      </c>
      <c r="G334">
        <v>0</v>
      </c>
      <c r="H334">
        <v>0</v>
      </c>
      <c r="I334" t="s">
        <v>32</v>
      </c>
      <c r="J334">
        <v>0</v>
      </c>
      <c r="M334" t="s">
        <v>44</v>
      </c>
      <c r="N334">
        <v>235</v>
      </c>
      <c r="R334" t="s">
        <v>45</v>
      </c>
      <c r="S334">
        <v>0</v>
      </c>
    </row>
    <row r="335" spans="1:19" x14ac:dyDescent="0.25">
      <c r="A335" t="s">
        <v>42</v>
      </c>
      <c r="B335">
        <v>3</v>
      </c>
      <c r="C335" t="s">
        <v>30</v>
      </c>
      <c r="D335" t="s">
        <v>49</v>
      </c>
      <c r="E335" s="2">
        <v>0</v>
      </c>
      <c r="F335">
        <v>0</v>
      </c>
      <c r="G335">
        <v>0</v>
      </c>
      <c r="H335">
        <v>0</v>
      </c>
      <c r="I335" t="s">
        <v>32</v>
      </c>
      <c r="J335">
        <v>0</v>
      </c>
      <c r="M335" t="s">
        <v>44</v>
      </c>
      <c r="N335">
        <v>30</v>
      </c>
      <c r="R335" t="s">
        <v>45</v>
      </c>
      <c r="S335">
        <v>0</v>
      </c>
    </row>
    <row r="336" spans="1:19" x14ac:dyDescent="0.25">
      <c r="A336" t="s">
        <v>42</v>
      </c>
      <c r="B336">
        <v>3</v>
      </c>
      <c r="C336" t="s">
        <v>30</v>
      </c>
      <c r="D336" t="s">
        <v>49</v>
      </c>
      <c r="E336" s="2">
        <v>0</v>
      </c>
      <c r="F336">
        <v>0</v>
      </c>
      <c r="G336">
        <v>0</v>
      </c>
      <c r="H336">
        <v>0</v>
      </c>
      <c r="I336" t="s">
        <v>32</v>
      </c>
      <c r="J336">
        <v>0</v>
      </c>
      <c r="M336" t="s">
        <v>44</v>
      </c>
      <c r="N336">
        <v>0</v>
      </c>
      <c r="R336" t="s">
        <v>45</v>
      </c>
      <c r="S336">
        <v>11</v>
      </c>
    </row>
    <row r="337" spans="1:19" x14ac:dyDescent="0.25">
      <c r="A337" t="s">
        <v>42</v>
      </c>
      <c r="B337">
        <v>3</v>
      </c>
      <c r="C337" t="s">
        <v>30</v>
      </c>
      <c r="D337" t="s">
        <v>49</v>
      </c>
      <c r="E337" s="2">
        <v>0</v>
      </c>
      <c r="F337">
        <v>0</v>
      </c>
      <c r="G337">
        <v>0</v>
      </c>
      <c r="H337">
        <v>0</v>
      </c>
      <c r="I337" t="s">
        <v>32</v>
      </c>
      <c r="J337">
        <v>0</v>
      </c>
      <c r="M337" t="s">
        <v>44</v>
      </c>
      <c r="N337">
        <v>0</v>
      </c>
      <c r="R337" t="s">
        <v>45</v>
      </c>
      <c r="S337">
        <v>150</v>
      </c>
    </row>
    <row r="338" spans="1:19" x14ac:dyDescent="0.25">
      <c r="A338" t="s">
        <v>42</v>
      </c>
      <c r="B338">
        <v>3</v>
      </c>
      <c r="C338" t="s">
        <v>30</v>
      </c>
      <c r="D338" t="s">
        <v>49</v>
      </c>
      <c r="E338" s="2">
        <v>0</v>
      </c>
      <c r="F338">
        <v>0</v>
      </c>
      <c r="G338">
        <v>0</v>
      </c>
      <c r="H338">
        <v>0</v>
      </c>
      <c r="I338" t="s">
        <v>32</v>
      </c>
      <c r="J338">
        <v>0</v>
      </c>
      <c r="M338" t="s">
        <v>44</v>
      </c>
      <c r="N338">
        <v>28</v>
      </c>
      <c r="R338" t="s">
        <v>45</v>
      </c>
      <c r="S338">
        <v>15</v>
      </c>
    </row>
    <row r="339" spans="1:19" x14ac:dyDescent="0.25">
      <c r="A339" t="s">
        <v>42</v>
      </c>
      <c r="B339">
        <v>3</v>
      </c>
      <c r="C339" t="s">
        <v>30</v>
      </c>
      <c r="D339" t="s">
        <v>49</v>
      </c>
      <c r="E339" s="2">
        <v>0</v>
      </c>
      <c r="F339">
        <v>0</v>
      </c>
      <c r="G339">
        <v>0</v>
      </c>
      <c r="H339">
        <v>0</v>
      </c>
      <c r="I339" t="s">
        <v>32</v>
      </c>
      <c r="J339">
        <v>0</v>
      </c>
      <c r="M339" t="s">
        <v>44</v>
      </c>
      <c r="N339">
        <v>15</v>
      </c>
      <c r="R339" t="s">
        <v>45</v>
      </c>
      <c r="S339">
        <v>57</v>
      </c>
    </row>
    <row r="340" spans="1:19" x14ac:dyDescent="0.25">
      <c r="A340" t="s">
        <v>42</v>
      </c>
      <c r="B340">
        <v>3</v>
      </c>
      <c r="C340" t="s">
        <v>30</v>
      </c>
      <c r="D340" t="s">
        <v>49</v>
      </c>
      <c r="E340" s="2">
        <v>0</v>
      </c>
      <c r="F340">
        <v>0</v>
      </c>
      <c r="G340">
        <v>0</v>
      </c>
      <c r="H340">
        <v>0</v>
      </c>
      <c r="I340" t="s">
        <v>32</v>
      </c>
      <c r="J340">
        <v>0</v>
      </c>
      <c r="M340" t="s">
        <v>44</v>
      </c>
      <c r="N340">
        <v>88</v>
      </c>
      <c r="R340" t="s">
        <v>45</v>
      </c>
      <c r="S340">
        <v>13</v>
      </c>
    </row>
    <row r="341" spans="1:19" x14ac:dyDescent="0.25">
      <c r="A341" t="s">
        <v>42</v>
      </c>
      <c r="B341">
        <v>3</v>
      </c>
      <c r="C341" t="s">
        <v>30</v>
      </c>
      <c r="D341" t="s">
        <v>49</v>
      </c>
      <c r="E341" s="2">
        <v>0</v>
      </c>
      <c r="F341">
        <v>0</v>
      </c>
      <c r="G341">
        <v>0</v>
      </c>
      <c r="H341">
        <v>0</v>
      </c>
      <c r="I341" t="s">
        <v>32</v>
      </c>
      <c r="J341">
        <v>0</v>
      </c>
      <c r="M341" t="s">
        <v>44</v>
      </c>
      <c r="N341">
        <v>25</v>
      </c>
      <c r="R341" t="s">
        <v>45</v>
      </c>
      <c r="S341">
        <v>0</v>
      </c>
    </row>
    <row r="342" spans="1:19" x14ac:dyDescent="0.25">
      <c r="A342" t="s">
        <v>42</v>
      </c>
      <c r="B342">
        <v>3</v>
      </c>
      <c r="C342" t="s">
        <v>30</v>
      </c>
      <c r="D342" t="s">
        <v>49</v>
      </c>
      <c r="E342" s="2">
        <v>0</v>
      </c>
      <c r="F342">
        <v>0</v>
      </c>
      <c r="G342">
        <v>0</v>
      </c>
      <c r="H342">
        <v>0</v>
      </c>
      <c r="I342" t="s">
        <v>32</v>
      </c>
      <c r="J342">
        <v>0</v>
      </c>
      <c r="M342" t="s">
        <v>44</v>
      </c>
      <c r="N342">
        <v>12</v>
      </c>
      <c r="R342" t="s">
        <v>45</v>
      </c>
      <c r="S342">
        <v>0</v>
      </c>
    </row>
    <row r="343" spans="1:19" x14ac:dyDescent="0.25">
      <c r="A343" t="s">
        <v>42</v>
      </c>
      <c r="B343">
        <v>3</v>
      </c>
      <c r="C343" t="s">
        <v>30</v>
      </c>
      <c r="D343" t="s">
        <v>49</v>
      </c>
      <c r="E343" s="2">
        <v>0</v>
      </c>
      <c r="F343">
        <v>0</v>
      </c>
      <c r="G343">
        <v>0</v>
      </c>
      <c r="H343">
        <v>0</v>
      </c>
      <c r="I343" t="s">
        <v>32</v>
      </c>
      <c r="J343">
        <v>0</v>
      </c>
      <c r="M343" t="s">
        <v>44</v>
      </c>
      <c r="N343">
        <v>94</v>
      </c>
      <c r="R343" t="s">
        <v>45</v>
      </c>
      <c r="S343">
        <v>25</v>
      </c>
    </row>
    <row r="344" spans="1:19" x14ac:dyDescent="0.25">
      <c r="A344" t="s">
        <v>42</v>
      </c>
      <c r="B344">
        <v>3</v>
      </c>
      <c r="C344" t="s">
        <v>30</v>
      </c>
      <c r="D344" t="s">
        <v>49</v>
      </c>
      <c r="E344" s="2">
        <v>0</v>
      </c>
      <c r="F344">
        <v>0</v>
      </c>
      <c r="G344">
        <v>0</v>
      </c>
      <c r="H344">
        <v>0</v>
      </c>
      <c r="I344" t="s">
        <v>32</v>
      </c>
      <c r="J344">
        <v>0</v>
      </c>
      <c r="M344" t="s">
        <v>44</v>
      </c>
      <c r="N344">
        <v>0</v>
      </c>
      <c r="R344" t="s">
        <v>45</v>
      </c>
      <c r="S344">
        <v>5</v>
      </c>
    </row>
    <row r="345" spans="1:19" x14ac:dyDescent="0.25">
      <c r="A345" t="s">
        <v>42</v>
      </c>
      <c r="B345">
        <v>3</v>
      </c>
      <c r="C345" t="s">
        <v>30</v>
      </c>
      <c r="D345" t="s">
        <v>49</v>
      </c>
      <c r="E345" s="2">
        <v>0</v>
      </c>
      <c r="F345">
        <v>0</v>
      </c>
      <c r="G345">
        <v>0</v>
      </c>
      <c r="H345">
        <v>0</v>
      </c>
      <c r="I345" t="s">
        <v>32</v>
      </c>
      <c r="J345">
        <v>0</v>
      </c>
      <c r="M345" t="s">
        <v>44</v>
      </c>
      <c r="N345">
        <v>90</v>
      </c>
      <c r="R345" t="s">
        <v>45</v>
      </c>
      <c r="S345">
        <v>25</v>
      </c>
    </row>
    <row r="346" spans="1:19" x14ac:dyDescent="0.25">
      <c r="A346" t="s">
        <v>42</v>
      </c>
      <c r="B346">
        <v>3</v>
      </c>
      <c r="C346" t="s">
        <v>30</v>
      </c>
      <c r="D346" t="s">
        <v>49</v>
      </c>
      <c r="E346" s="2">
        <v>0</v>
      </c>
      <c r="F346">
        <v>0</v>
      </c>
      <c r="G346">
        <v>0</v>
      </c>
      <c r="H346">
        <v>0</v>
      </c>
      <c r="I346" t="s">
        <v>32</v>
      </c>
      <c r="J346">
        <v>0</v>
      </c>
      <c r="M346" t="s">
        <v>44</v>
      </c>
      <c r="N346">
        <v>77</v>
      </c>
      <c r="R346" t="s">
        <v>47</v>
      </c>
      <c r="S346">
        <v>18</v>
      </c>
    </row>
    <row r="347" spans="1:19" x14ac:dyDescent="0.25">
      <c r="A347" t="s">
        <v>42</v>
      </c>
      <c r="B347">
        <v>3</v>
      </c>
      <c r="C347" t="s">
        <v>30</v>
      </c>
      <c r="D347" t="s">
        <v>49</v>
      </c>
      <c r="E347" s="2">
        <v>0</v>
      </c>
      <c r="F347">
        <v>0</v>
      </c>
      <c r="G347">
        <v>0</v>
      </c>
      <c r="H347">
        <v>0</v>
      </c>
      <c r="I347" t="s">
        <v>32</v>
      </c>
      <c r="J347">
        <v>0</v>
      </c>
      <c r="M347" t="s">
        <v>44</v>
      </c>
      <c r="N347">
        <v>49</v>
      </c>
      <c r="R347" t="s">
        <v>47</v>
      </c>
      <c r="S347">
        <v>52</v>
      </c>
    </row>
    <row r="348" spans="1:19" x14ac:dyDescent="0.25">
      <c r="A348" t="s">
        <v>42</v>
      </c>
      <c r="B348">
        <v>3</v>
      </c>
      <c r="C348" t="s">
        <v>30</v>
      </c>
      <c r="D348" t="s">
        <v>49</v>
      </c>
      <c r="E348" s="2">
        <v>0</v>
      </c>
      <c r="F348">
        <v>0</v>
      </c>
      <c r="G348">
        <v>0</v>
      </c>
      <c r="H348">
        <v>0</v>
      </c>
      <c r="I348" t="s">
        <v>32</v>
      </c>
      <c r="J348">
        <v>0</v>
      </c>
      <c r="M348" t="s">
        <v>44</v>
      </c>
      <c r="N348">
        <v>0</v>
      </c>
      <c r="R348" t="s">
        <v>47</v>
      </c>
      <c r="S348">
        <v>53</v>
      </c>
    </row>
    <row r="349" spans="1:19" x14ac:dyDescent="0.25">
      <c r="A349" t="s">
        <v>42</v>
      </c>
      <c r="B349">
        <v>3</v>
      </c>
      <c r="C349" t="s">
        <v>30</v>
      </c>
      <c r="D349" t="s">
        <v>49</v>
      </c>
      <c r="E349" s="2">
        <v>0</v>
      </c>
      <c r="F349">
        <v>0</v>
      </c>
      <c r="G349">
        <v>0</v>
      </c>
      <c r="H349">
        <v>0</v>
      </c>
      <c r="I349" t="s">
        <v>32</v>
      </c>
      <c r="J349">
        <v>0</v>
      </c>
      <c r="M349" t="s">
        <v>44</v>
      </c>
      <c r="N349">
        <v>105</v>
      </c>
      <c r="R349" t="s">
        <v>47</v>
      </c>
      <c r="S349">
        <v>8</v>
      </c>
    </row>
    <row r="350" spans="1:19" x14ac:dyDescent="0.25">
      <c r="A350" t="s">
        <v>42</v>
      </c>
      <c r="B350">
        <v>3</v>
      </c>
      <c r="C350" t="s">
        <v>30</v>
      </c>
      <c r="D350" t="s">
        <v>49</v>
      </c>
      <c r="E350" s="2">
        <v>0</v>
      </c>
      <c r="F350">
        <v>0</v>
      </c>
      <c r="G350">
        <v>0</v>
      </c>
      <c r="H350">
        <v>0</v>
      </c>
      <c r="I350" t="s">
        <v>32</v>
      </c>
      <c r="J350">
        <v>0</v>
      </c>
      <c r="M350" t="s">
        <v>44</v>
      </c>
      <c r="N350">
        <v>0</v>
      </c>
      <c r="R350" t="s">
        <v>47</v>
      </c>
      <c r="S350">
        <v>0</v>
      </c>
    </row>
    <row r="351" spans="1:19" x14ac:dyDescent="0.25">
      <c r="A351" t="s">
        <v>42</v>
      </c>
      <c r="B351">
        <v>3</v>
      </c>
      <c r="C351" t="s">
        <v>30</v>
      </c>
      <c r="D351" t="s">
        <v>49</v>
      </c>
      <c r="E351" s="2">
        <v>0</v>
      </c>
      <c r="F351">
        <v>0</v>
      </c>
      <c r="G351">
        <v>0</v>
      </c>
      <c r="H351">
        <v>0</v>
      </c>
      <c r="I351" t="s">
        <v>32</v>
      </c>
      <c r="J351">
        <v>0</v>
      </c>
      <c r="M351" t="s">
        <v>44</v>
      </c>
      <c r="N351">
        <v>70</v>
      </c>
      <c r="R351" t="s">
        <v>47</v>
      </c>
      <c r="S351">
        <v>17</v>
      </c>
    </row>
    <row r="352" spans="1:19" x14ac:dyDescent="0.25">
      <c r="A352" t="s">
        <v>42</v>
      </c>
      <c r="B352">
        <v>3</v>
      </c>
      <c r="C352" t="s">
        <v>30</v>
      </c>
      <c r="D352" t="s">
        <v>49</v>
      </c>
      <c r="E352" s="2">
        <v>0</v>
      </c>
      <c r="F352">
        <v>0</v>
      </c>
      <c r="G352">
        <v>0</v>
      </c>
      <c r="H352">
        <v>0</v>
      </c>
      <c r="I352" t="s">
        <v>32</v>
      </c>
      <c r="J352">
        <v>0</v>
      </c>
      <c r="M352" t="s">
        <v>44</v>
      </c>
      <c r="N352">
        <v>11</v>
      </c>
      <c r="R352" t="s">
        <v>47</v>
      </c>
      <c r="S352">
        <v>0</v>
      </c>
    </row>
    <row r="353" spans="1:19" x14ac:dyDescent="0.25">
      <c r="A353" t="s">
        <v>42</v>
      </c>
      <c r="B353">
        <v>3</v>
      </c>
      <c r="C353" t="s">
        <v>30</v>
      </c>
      <c r="D353" t="s">
        <v>49</v>
      </c>
      <c r="E353" s="2">
        <v>0</v>
      </c>
      <c r="F353">
        <v>0</v>
      </c>
      <c r="G353">
        <v>0</v>
      </c>
      <c r="H353">
        <v>0</v>
      </c>
      <c r="I353" t="s">
        <v>32</v>
      </c>
      <c r="J353">
        <v>0</v>
      </c>
      <c r="M353" t="s">
        <v>44</v>
      </c>
      <c r="N353">
        <v>16</v>
      </c>
      <c r="R353" t="s">
        <v>47</v>
      </c>
      <c r="S353">
        <v>0.4</v>
      </c>
    </row>
    <row r="354" spans="1:19" x14ac:dyDescent="0.25">
      <c r="A354" t="s">
        <v>42</v>
      </c>
      <c r="B354">
        <v>3</v>
      </c>
      <c r="C354" t="s">
        <v>30</v>
      </c>
      <c r="D354" t="s">
        <v>49</v>
      </c>
      <c r="E354" s="2">
        <v>0</v>
      </c>
      <c r="F354">
        <v>0</v>
      </c>
      <c r="G354">
        <v>0</v>
      </c>
      <c r="H354">
        <v>0</v>
      </c>
      <c r="I354" t="s">
        <v>32</v>
      </c>
      <c r="J354">
        <v>0</v>
      </c>
      <c r="M354" t="s">
        <v>44</v>
      </c>
      <c r="N354">
        <v>94</v>
      </c>
      <c r="R354" t="s">
        <v>47</v>
      </c>
      <c r="S354">
        <v>0</v>
      </c>
    </row>
    <row r="355" spans="1:19" x14ac:dyDescent="0.25">
      <c r="A355" t="s">
        <v>42</v>
      </c>
      <c r="B355">
        <v>3</v>
      </c>
      <c r="C355" t="s">
        <v>34</v>
      </c>
      <c r="D355" t="s">
        <v>50</v>
      </c>
      <c r="E355" s="2">
        <v>0</v>
      </c>
      <c r="F355">
        <v>0</v>
      </c>
      <c r="G355">
        <v>0</v>
      </c>
      <c r="H355">
        <v>0</v>
      </c>
      <c r="I355" t="s">
        <v>32</v>
      </c>
      <c r="J355">
        <v>0</v>
      </c>
      <c r="M355" t="s">
        <v>44</v>
      </c>
      <c r="N355">
        <v>10</v>
      </c>
      <c r="R355" t="s">
        <v>47</v>
      </c>
      <c r="S355">
        <v>14</v>
      </c>
    </row>
    <row r="356" spans="1:19" x14ac:dyDescent="0.25">
      <c r="A356" t="s">
        <v>42</v>
      </c>
      <c r="B356">
        <v>3</v>
      </c>
      <c r="C356" t="s">
        <v>34</v>
      </c>
      <c r="D356" t="s">
        <v>50</v>
      </c>
      <c r="E356" s="2">
        <v>0</v>
      </c>
      <c r="F356">
        <v>0</v>
      </c>
      <c r="G356">
        <v>0</v>
      </c>
      <c r="H356">
        <v>0</v>
      </c>
      <c r="I356" t="s">
        <v>32</v>
      </c>
      <c r="J356">
        <v>0</v>
      </c>
      <c r="M356" t="s">
        <v>44</v>
      </c>
      <c r="N356">
        <v>7</v>
      </c>
      <c r="R356" t="s">
        <v>47</v>
      </c>
      <c r="S356">
        <v>11</v>
      </c>
    </row>
    <row r="357" spans="1:19" x14ac:dyDescent="0.25">
      <c r="A357" t="s">
        <v>42</v>
      </c>
      <c r="B357">
        <v>3</v>
      </c>
      <c r="C357" t="s">
        <v>34</v>
      </c>
      <c r="D357" t="s">
        <v>50</v>
      </c>
      <c r="E357" s="2">
        <v>0</v>
      </c>
      <c r="F357">
        <v>0</v>
      </c>
      <c r="G357">
        <v>0</v>
      </c>
      <c r="H357">
        <v>0</v>
      </c>
      <c r="I357" t="s">
        <v>32</v>
      </c>
      <c r="J357">
        <v>0</v>
      </c>
      <c r="M357" t="s">
        <v>44</v>
      </c>
      <c r="N357">
        <v>0</v>
      </c>
      <c r="R357" t="s">
        <v>47</v>
      </c>
      <c r="S357">
        <v>0</v>
      </c>
    </row>
    <row r="358" spans="1:19" x14ac:dyDescent="0.25">
      <c r="A358" t="s">
        <v>42</v>
      </c>
      <c r="B358">
        <v>3</v>
      </c>
      <c r="C358" t="s">
        <v>34</v>
      </c>
      <c r="D358" t="s">
        <v>50</v>
      </c>
      <c r="E358" s="2">
        <v>0</v>
      </c>
      <c r="F358">
        <v>0</v>
      </c>
      <c r="G358">
        <v>0</v>
      </c>
      <c r="H358">
        <v>0</v>
      </c>
      <c r="I358" t="s">
        <v>32</v>
      </c>
      <c r="J358">
        <v>0</v>
      </c>
      <c r="M358" t="s">
        <v>44</v>
      </c>
      <c r="N358">
        <v>0</v>
      </c>
      <c r="R358" t="s">
        <v>47</v>
      </c>
      <c r="S358">
        <v>0</v>
      </c>
    </row>
    <row r="359" spans="1:19" x14ac:dyDescent="0.25">
      <c r="A359" t="s">
        <v>42</v>
      </c>
      <c r="B359">
        <v>3</v>
      </c>
      <c r="C359" t="s">
        <v>34</v>
      </c>
      <c r="D359" t="s">
        <v>50</v>
      </c>
      <c r="E359" s="2">
        <v>0</v>
      </c>
      <c r="F359">
        <v>0</v>
      </c>
      <c r="G359">
        <v>0</v>
      </c>
      <c r="H359">
        <v>0</v>
      </c>
      <c r="I359" t="s">
        <v>32</v>
      </c>
      <c r="J359">
        <v>0</v>
      </c>
      <c r="M359" t="s">
        <v>44</v>
      </c>
      <c r="N359">
        <v>0</v>
      </c>
      <c r="R359" t="s">
        <v>47</v>
      </c>
      <c r="S359">
        <v>10</v>
      </c>
    </row>
    <row r="360" spans="1:19" x14ac:dyDescent="0.25">
      <c r="A360" t="s">
        <v>42</v>
      </c>
      <c r="B360">
        <v>3</v>
      </c>
      <c r="C360" t="s">
        <v>34</v>
      </c>
      <c r="D360" t="s">
        <v>50</v>
      </c>
      <c r="E360" s="2">
        <v>0</v>
      </c>
      <c r="F360">
        <v>0</v>
      </c>
      <c r="G360">
        <v>0</v>
      </c>
      <c r="H360">
        <v>0</v>
      </c>
      <c r="I360" t="s">
        <v>32</v>
      </c>
      <c r="J360">
        <v>0</v>
      </c>
      <c r="M360" t="s">
        <v>44</v>
      </c>
      <c r="N360">
        <v>0</v>
      </c>
      <c r="R360" t="s">
        <v>47</v>
      </c>
      <c r="S360">
        <v>5</v>
      </c>
    </row>
    <row r="361" spans="1:19" x14ac:dyDescent="0.25">
      <c r="A361" t="s">
        <v>42</v>
      </c>
      <c r="B361">
        <v>3</v>
      </c>
      <c r="C361" t="s">
        <v>34</v>
      </c>
      <c r="D361" t="s">
        <v>50</v>
      </c>
      <c r="E361" s="2">
        <v>0</v>
      </c>
      <c r="F361">
        <v>0</v>
      </c>
      <c r="G361">
        <v>0</v>
      </c>
      <c r="H361">
        <v>0</v>
      </c>
      <c r="I361" t="s">
        <v>32</v>
      </c>
      <c r="J361">
        <v>0</v>
      </c>
      <c r="M361" t="s">
        <v>44</v>
      </c>
      <c r="N361">
        <v>0</v>
      </c>
      <c r="R361" t="s">
        <v>47</v>
      </c>
      <c r="S361">
        <v>0</v>
      </c>
    </row>
    <row r="362" spans="1:19" x14ac:dyDescent="0.25">
      <c r="A362" t="s">
        <v>42</v>
      </c>
      <c r="B362">
        <v>3</v>
      </c>
      <c r="C362" t="s">
        <v>34</v>
      </c>
      <c r="D362" t="s">
        <v>50</v>
      </c>
      <c r="E362" s="2">
        <v>0</v>
      </c>
      <c r="F362">
        <v>0</v>
      </c>
      <c r="G362">
        <v>0</v>
      </c>
      <c r="H362">
        <v>0</v>
      </c>
      <c r="I362" t="s">
        <v>32</v>
      </c>
      <c r="J362">
        <v>0</v>
      </c>
      <c r="M362" t="s">
        <v>44</v>
      </c>
      <c r="N362">
        <v>0</v>
      </c>
      <c r="R362" t="s">
        <v>47</v>
      </c>
      <c r="S362">
        <v>145</v>
      </c>
    </row>
    <row r="363" spans="1:19" x14ac:dyDescent="0.25">
      <c r="A363" t="s">
        <v>42</v>
      </c>
      <c r="B363">
        <v>3</v>
      </c>
      <c r="C363" t="s">
        <v>34</v>
      </c>
      <c r="D363" t="s">
        <v>50</v>
      </c>
      <c r="E363" s="2">
        <v>0</v>
      </c>
      <c r="F363">
        <v>0</v>
      </c>
      <c r="G363">
        <v>0</v>
      </c>
      <c r="H363">
        <v>0</v>
      </c>
      <c r="I363" t="s">
        <v>32</v>
      </c>
      <c r="J363">
        <v>0</v>
      </c>
      <c r="M363" t="s">
        <v>44</v>
      </c>
      <c r="N363">
        <v>39</v>
      </c>
      <c r="R363" t="s">
        <v>47</v>
      </c>
      <c r="S363">
        <v>0</v>
      </c>
    </row>
    <row r="364" spans="1:19" x14ac:dyDescent="0.25">
      <c r="A364" t="s">
        <v>42</v>
      </c>
      <c r="B364">
        <v>4</v>
      </c>
      <c r="C364" t="s">
        <v>30</v>
      </c>
      <c r="D364" t="s">
        <v>51</v>
      </c>
      <c r="E364" s="2">
        <v>0</v>
      </c>
      <c r="F364">
        <v>0</v>
      </c>
      <c r="G364">
        <v>0</v>
      </c>
      <c r="H364">
        <v>0</v>
      </c>
      <c r="I364" t="s">
        <v>32</v>
      </c>
      <c r="J364">
        <v>0</v>
      </c>
      <c r="M364" t="s">
        <v>44</v>
      </c>
      <c r="N364">
        <v>0</v>
      </c>
      <c r="R364" t="s">
        <v>47</v>
      </c>
      <c r="S364">
        <v>0</v>
      </c>
    </row>
    <row r="365" spans="1:19" x14ac:dyDescent="0.25">
      <c r="A365" t="s">
        <v>42</v>
      </c>
      <c r="B365">
        <v>4</v>
      </c>
      <c r="C365" t="s">
        <v>30</v>
      </c>
      <c r="D365" t="s">
        <v>51</v>
      </c>
      <c r="E365" s="2">
        <v>0</v>
      </c>
      <c r="F365">
        <v>0</v>
      </c>
      <c r="G365">
        <v>0</v>
      </c>
      <c r="H365">
        <v>0</v>
      </c>
      <c r="I365" t="s">
        <v>32</v>
      </c>
      <c r="J365">
        <v>0</v>
      </c>
      <c r="M365" t="s">
        <v>44</v>
      </c>
      <c r="N365">
        <v>0</v>
      </c>
      <c r="R365" t="s">
        <v>47</v>
      </c>
      <c r="S365">
        <v>27</v>
      </c>
    </row>
    <row r="366" spans="1:19" x14ac:dyDescent="0.25">
      <c r="A366" t="s">
        <v>42</v>
      </c>
      <c r="B366">
        <v>4</v>
      </c>
      <c r="C366" t="s">
        <v>30</v>
      </c>
      <c r="D366" t="s">
        <v>51</v>
      </c>
      <c r="E366" s="2">
        <v>0</v>
      </c>
      <c r="F366">
        <v>0</v>
      </c>
      <c r="G366">
        <v>0</v>
      </c>
      <c r="H366">
        <v>0</v>
      </c>
      <c r="I366" t="s">
        <v>32</v>
      </c>
      <c r="J366">
        <v>0</v>
      </c>
      <c r="M366" t="s">
        <v>44</v>
      </c>
      <c r="N366">
        <v>0</v>
      </c>
      <c r="R366" t="s">
        <v>47</v>
      </c>
      <c r="S366">
        <v>56</v>
      </c>
    </row>
    <row r="367" spans="1:19" x14ac:dyDescent="0.25">
      <c r="A367" t="s">
        <v>42</v>
      </c>
      <c r="B367">
        <v>4</v>
      </c>
      <c r="C367" t="s">
        <v>30</v>
      </c>
      <c r="D367" t="s">
        <v>51</v>
      </c>
      <c r="E367" s="2">
        <v>0</v>
      </c>
      <c r="F367">
        <v>0</v>
      </c>
      <c r="G367">
        <v>0</v>
      </c>
      <c r="H367">
        <v>0</v>
      </c>
      <c r="I367" t="s">
        <v>32</v>
      </c>
      <c r="J367">
        <v>0</v>
      </c>
      <c r="M367" t="s">
        <v>44</v>
      </c>
      <c r="N367">
        <v>27</v>
      </c>
      <c r="R367" t="s">
        <v>47</v>
      </c>
      <c r="S367">
        <v>7</v>
      </c>
    </row>
    <row r="368" spans="1:19" x14ac:dyDescent="0.25">
      <c r="A368" t="s">
        <v>42</v>
      </c>
      <c r="B368">
        <v>4</v>
      </c>
      <c r="C368" t="s">
        <v>30</v>
      </c>
      <c r="D368" t="s">
        <v>51</v>
      </c>
      <c r="E368" s="2">
        <v>0</v>
      </c>
      <c r="F368">
        <v>0</v>
      </c>
      <c r="G368">
        <v>0</v>
      </c>
      <c r="H368">
        <v>0</v>
      </c>
      <c r="I368" t="s">
        <v>32</v>
      </c>
      <c r="J368">
        <v>0</v>
      </c>
      <c r="M368" t="s">
        <v>44</v>
      </c>
      <c r="N368">
        <v>11</v>
      </c>
      <c r="R368" t="s">
        <v>47</v>
      </c>
      <c r="S368">
        <v>149</v>
      </c>
    </row>
    <row r="369" spans="1:19" x14ac:dyDescent="0.25">
      <c r="A369" t="s">
        <v>42</v>
      </c>
      <c r="B369">
        <v>4</v>
      </c>
      <c r="C369" t="s">
        <v>30</v>
      </c>
      <c r="D369" t="s">
        <v>51</v>
      </c>
      <c r="E369" s="2">
        <v>0</v>
      </c>
      <c r="F369">
        <v>0</v>
      </c>
      <c r="G369">
        <v>0</v>
      </c>
      <c r="H369">
        <v>0</v>
      </c>
      <c r="I369" t="s">
        <v>32</v>
      </c>
      <c r="J369">
        <v>0</v>
      </c>
      <c r="M369" t="s">
        <v>44</v>
      </c>
      <c r="N369">
        <v>0</v>
      </c>
      <c r="R369" t="s">
        <v>47</v>
      </c>
      <c r="S369">
        <v>167</v>
      </c>
    </row>
    <row r="370" spans="1:19" x14ac:dyDescent="0.25">
      <c r="A370" t="s">
        <v>42</v>
      </c>
      <c r="B370">
        <v>4</v>
      </c>
      <c r="C370" t="s">
        <v>30</v>
      </c>
      <c r="D370" t="s">
        <v>51</v>
      </c>
      <c r="E370" s="2">
        <v>0</v>
      </c>
      <c r="F370">
        <v>0</v>
      </c>
      <c r="G370">
        <v>0</v>
      </c>
      <c r="H370">
        <v>0</v>
      </c>
      <c r="I370" t="s">
        <v>32</v>
      </c>
      <c r="J370">
        <v>0</v>
      </c>
      <c r="M370" t="s">
        <v>44</v>
      </c>
      <c r="N370">
        <v>15</v>
      </c>
      <c r="R370" t="s">
        <v>47</v>
      </c>
      <c r="S370">
        <v>0</v>
      </c>
    </row>
    <row r="371" spans="1:19" x14ac:dyDescent="0.25">
      <c r="A371" t="s">
        <v>42</v>
      </c>
      <c r="B371">
        <v>4</v>
      </c>
      <c r="C371" t="s">
        <v>30</v>
      </c>
      <c r="D371" t="s">
        <v>51</v>
      </c>
      <c r="E371" s="2">
        <v>0</v>
      </c>
      <c r="F371">
        <v>0</v>
      </c>
      <c r="G371">
        <v>0</v>
      </c>
      <c r="H371">
        <v>0</v>
      </c>
      <c r="I371" t="s">
        <v>32</v>
      </c>
      <c r="J371">
        <v>0</v>
      </c>
      <c r="M371" t="s">
        <v>44</v>
      </c>
      <c r="N371">
        <v>10</v>
      </c>
      <c r="R371" t="s">
        <v>47</v>
      </c>
      <c r="S371">
        <v>0</v>
      </c>
    </row>
    <row r="372" spans="1:19" x14ac:dyDescent="0.25">
      <c r="A372" t="s">
        <v>42</v>
      </c>
      <c r="B372">
        <v>4</v>
      </c>
      <c r="C372" t="s">
        <v>30</v>
      </c>
      <c r="D372" t="s">
        <v>51</v>
      </c>
      <c r="E372" s="2">
        <v>0</v>
      </c>
      <c r="F372">
        <v>0</v>
      </c>
      <c r="G372">
        <v>0</v>
      </c>
      <c r="H372">
        <v>0</v>
      </c>
      <c r="I372" t="s">
        <v>32</v>
      </c>
      <c r="J372">
        <v>0</v>
      </c>
      <c r="M372" t="s">
        <v>44</v>
      </c>
      <c r="N372">
        <v>4</v>
      </c>
      <c r="R372" t="s">
        <v>47</v>
      </c>
      <c r="S372">
        <v>0</v>
      </c>
    </row>
    <row r="373" spans="1:19" x14ac:dyDescent="0.25">
      <c r="A373" t="s">
        <v>42</v>
      </c>
      <c r="B373">
        <v>4</v>
      </c>
      <c r="C373" t="s">
        <v>30</v>
      </c>
      <c r="D373" t="s">
        <v>51</v>
      </c>
      <c r="E373" s="2">
        <v>0</v>
      </c>
      <c r="F373">
        <v>0</v>
      </c>
      <c r="G373">
        <v>0</v>
      </c>
      <c r="H373">
        <v>0</v>
      </c>
      <c r="I373" t="s">
        <v>32</v>
      </c>
      <c r="J373">
        <v>0</v>
      </c>
      <c r="M373" t="s">
        <v>44</v>
      </c>
      <c r="N373">
        <v>13</v>
      </c>
      <c r="R373" t="s">
        <v>47</v>
      </c>
      <c r="S373">
        <v>0</v>
      </c>
    </row>
    <row r="374" spans="1:19" x14ac:dyDescent="0.25">
      <c r="A374" t="s">
        <v>42</v>
      </c>
      <c r="B374">
        <v>4</v>
      </c>
      <c r="C374" t="s">
        <v>30</v>
      </c>
      <c r="D374" t="s">
        <v>51</v>
      </c>
      <c r="E374" s="2">
        <v>0</v>
      </c>
      <c r="F374">
        <v>0</v>
      </c>
      <c r="G374">
        <v>0</v>
      </c>
      <c r="H374">
        <v>0</v>
      </c>
      <c r="I374" t="s">
        <v>32</v>
      </c>
      <c r="J374">
        <v>0</v>
      </c>
      <c r="M374" t="s">
        <v>44</v>
      </c>
      <c r="N374">
        <v>0</v>
      </c>
      <c r="R374" t="s">
        <v>47</v>
      </c>
      <c r="S374">
        <v>0</v>
      </c>
    </row>
    <row r="375" spans="1:19" x14ac:dyDescent="0.25">
      <c r="A375" t="s">
        <v>42</v>
      </c>
      <c r="B375">
        <v>4</v>
      </c>
      <c r="C375" t="s">
        <v>30</v>
      </c>
      <c r="D375" t="s">
        <v>51</v>
      </c>
      <c r="E375" s="2">
        <v>0</v>
      </c>
      <c r="F375">
        <v>0</v>
      </c>
      <c r="G375">
        <v>0</v>
      </c>
      <c r="H375">
        <v>0</v>
      </c>
      <c r="I375" t="s">
        <v>32</v>
      </c>
      <c r="J375">
        <v>0</v>
      </c>
      <c r="M375" t="s">
        <v>44</v>
      </c>
      <c r="N375">
        <v>18</v>
      </c>
      <c r="R375" t="s">
        <v>47</v>
      </c>
      <c r="S375">
        <v>179</v>
      </c>
    </row>
    <row r="376" spans="1:19" x14ac:dyDescent="0.25">
      <c r="A376" t="s">
        <v>42</v>
      </c>
      <c r="B376">
        <v>4</v>
      </c>
      <c r="C376" t="s">
        <v>30</v>
      </c>
      <c r="D376" t="s">
        <v>51</v>
      </c>
      <c r="E376" s="2">
        <v>0</v>
      </c>
      <c r="F376">
        <v>0</v>
      </c>
      <c r="G376">
        <v>0</v>
      </c>
      <c r="H376">
        <v>0</v>
      </c>
      <c r="I376" t="s">
        <v>32</v>
      </c>
      <c r="J376">
        <v>0</v>
      </c>
      <c r="M376" t="s">
        <v>44</v>
      </c>
      <c r="N376">
        <v>142</v>
      </c>
      <c r="R376" t="s">
        <v>47</v>
      </c>
      <c r="S376">
        <v>0</v>
      </c>
    </row>
    <row r="377" spans="1:19" x14ac:dyDescent="0.25">
      <c r="A377" t="s">
        <v>42</v>
      </c>
      <c r="B377">
        <v>4</v>
      </c>
      <c r="C377" t="s">
        <v>30</v>
      </c>
      <c r="D377" t="s">
        <v>51</v>
      </c>
      <c r="E377" s="2">
        <v>0</v>
      </c>
      <c r="F377">
        <v>0</v>
      </c>
      <c r="G377">
        <v>0</v>
      </c>
      <c r="H377">
        <v>0</v>
      </c>
      <c r="I377" t="s">
        <v>32</v>
      </c>
      <c r="J377">
        <v>0</v>
      </c>
      <c r="M377" t="s">
        <v>44</v>
      </c>
      <c r="N377">
        <v>0</v>
      </c>
      <c r="R377" t="s">
        <v>47</v>
      </c>
      <c r="S377">
        <v>10</v>
      </c>
    </row>
    <row r="378" spans="1:19" x14ac:dyDescent="0.25">
      <c r="A378" t="s">
        <v>42</v>
      </c>
      <c r="B378">
        <v>4</v>
      </c>
      <c r="C378" t="s">
        <v>30</v>
      </c>
      <c r="D378" t="s">
        <v>51</v>
      </c>
      <c r="E378" s="2">
        <v>0</v>
      </c>
      <c r="F378">
        <v>0</v>
      </c>
      <c r="G378">
        <v>0</v>
      </c>
      <c r="H378">
        <v>0</v>
      </c>
      <c r="I378" t="s">
        <v>32</v>
      </c>
      <c r="J378">
        <v>0</v>
      </c>
      <c r="M378" t="s">
        <v>44</v>
      </c>
      <c r="N378">
        <v>0</v>
      </c>
      <c r="R378" t="s">
        <v>47</v>
      </c>
      <c r="S378">
        <v>0</v>
      </c>
    </row>
    <row r="379" spans="1:19" x14ac:dyDescent="0.25">
      <c r="A379" t="s">
        <v>42</v>
      </c>
      <c r="B379">
        <v>4</v>
      </c>
      <c r="C379" t="s">
        <v>30</v>
      </c>
      <c r="D379" t="s">
        <v>51</v>
      </c>
      <c r="E379" s="2">
        <v>0</v>
      </c>
      <c r="F379">
        <v>0</v>
      </c>
      <c r="G379">
        <v>0</v>
      </c>
      <c r="H379">
        <v>0</v>
      </c>
      <c r="I379" t="s">
        <v>32</v>
      </c>
      <c r="J379">
        <v>0</v>
      </c>
      <c r="M379" t="s">
        <v>44</v>
      </c>
      <c r="N379">
        <v>0</v>
      </c>
      <c r="R379" t="s">
        <v>47</v>
      </c>
      <c r="S379">
        <v>9</v>
      </c>
    </row>
    <row r="380" spans="1:19" x14ac:dyDescent="0.25">
      <c r="A380" t="s">
        <v>42</v>
      </c>
      <c r="B380">
        <v>4</v>
      </c>
      <c r="C380" t="s">
        <v>30</v>
      </c>
      <c r="D380" t="s">
        <v>51</v>
      </c>
      <c r="E380" s="2">
        <v>0</v>
      </c>
      <c r="F380">
        <v>0</v>
      </c>
      <c r="G380">
        <v>0</v>
      </c>
      <c r="H380">
        <v>0</v>
      </c>
      <c r="I380" t="s">
        <v>32</v>
      </c>
      <c r="J380">
        <v>0</v>
      </c>
      <c r="M380" t="s">
        <v>44</v>
      </c>
      <c r="N380">
        <v>61</v>
      </c>
      <c r="R380" t="s">
        <v>47</v>
      </c>
      <c r="S380">
        <v>40</v>
      </c>
    </row>
    <row r="381" spans="1:19" x14ac:dyDescent="0.25">
      <c r="A381" t="s">
        <v>42</v>
      </c>
      <c r="B381">
        <v>4</v>
      </c>
      <c r="C381" t="s">
        <v>30</v>
      </c>
      <c r="D381" t="s">
        <v>51</v>
      </c>
      <c r="E381" s="2">
        <v>0</v>
      </c>
      <c r="F381">
        <v>0</v>
      </c>
      <c r="G381">
        <v>0</v>
      </c>
      <c r="H381">
        <v>0</v>
      </c>
      <c r="I381" t="s">
        <v>32</v>
      </c>
      <c r="J381">
        <v>0</v>
      </c>
      <c r="M381" t="s">
        <v>44</v>
      </c>
      <c r="N381">
        <v>8</v>
      </c>
      <c r="R381" t="s">
        <v>47</v>
      </c>
      <c r="S381">
        <v>0</v>
      </c>
    </row>
    <row r="382" spans="1:19" x14ac:dyDescent="0.25">
      <c r="A382" t="s">
        <v>42</v>
      </c>
      <c r="B382">
        <v>4</v>
      </c>
      <c r="C382" t="s">
        <v>30</v>
      </c>
      <c r="D382" t="s">
        <v>51</v>
      </c>
      <c r="E382" s="2">
        <v>0</v>
      </c>
      <c r="F382">
        <v>0</v>
      </c>
      <c r="G382">
        <v>0</v>
      </c>
      <c r="H382">
        <v>0</v>
      </c>
      <c r="I382" t="s">
        <v>32</v>
      </c>
      <c r="J382">
        <v>0</v>
      </c>
      <c r="M382" t="s">
        <v>44</v>
      </c>
      <c r="N382">
        <v>8</v>
      </c>
      <c r="R382" t="s">
        <v>47</v>
      </c>
      <c r="S382">
        <v>0</v>
      </c>
    </row>
    <row r="383" spans="1:19" x14ac:dyDescent="0.25">
      <c r="A383" t="s">
        <v>42</v>
      </c>
      <c r="B383">
        <v>4</v>
      </c>
      <c r="C383" t="s">
        <v>30</v>
      </c>
      <c r="D383" t="s">
        <v>51</v>
      </c>
      <c r="E383" s="2">
        <v>0</v>
      </c>
      <c r="F383">
        <v>0</v>
      </c>
      <c r="G383">
        <v>0</v>
      </c>
      <c r="H383">
        <v>0</v>
      </c>
      <c r="I383" t="s">
        <v>32</v>
      </c>
      <c r="J383">
        <v>0</v>
      </c>
      <c r="M383" t="s">
        <v>44</v>
      </c>
      <c r="N383">
        <v>27</v>
      </c>
      <c r="R383" t="s">
        <v>47</v>
      </c>
      <c r="S383">
        <v>0</v>
      </c>
    </row>
    <row r="384" spans="1:19" x14ac:dyDescent="0.25">
      <c r="A384" t="s">
        <v>42</v>
      </c>
      <c r="B384">
        <v>4</v>
      </c>
      <c r="C384" t="s">
        <v>30</v>
      </c>
      <c r="D384" t="s">
        <v>51</v>
      </c>
      <c r="E384" s="2">
        <v>0</v>
      </c>
      <c r="F384">
        <v>0</v>
      </c>
      <c r="G384">
        <v>0</v>
      </c>
      <c r="H384">
        <v>0</v>
      </c>
      <c r="I384" t="s">
        <v>32</v>
      </c>
      <c r="J384">
        <v>0</v>
      </c>
      <c r="M384" t="s">
        <v>44</v>
      </c>
      <c r="N384">
        <v>8</v>
      </c>
      <c r="R384" t="s">
        <v>47</v>
      </c>
      <c r="S384">
        <v>0</v>
      </c>
    </row>
    <row r="385" spans="1:19" x14ac:dyDescent="0.25">
      <c r="A385" t="s">
        <v>42</v>
      </c>
      <c r="B385">
        <v>4</v>
      </c>
      <c r="C385" t="s">
        <v>30</v>
      </c>
      <c r="D385" t="s">
        <v>51</v>
      </c>
      <c r="E385" s="2">
        <v>0</v>
      </c>
      <c r="F385">
        <v>0</v>
      </c>
      <c r="G385">
        <v>0</v>
      </c>
      <c r="H385">
        <v>0</v>
      </c>
      <c r="I385" t="s">
        <v>32</v>
      </c>
      <c r="J385">
        <v>0</v>
      </c>
      <c r="M385" t="s">
        <v>44</v>
      </c>
      <c r="N385">
        <v>0</v>
      </c>
      <c r="R385" t="s">
        <v>47</v>
      </c>
      <c r="S385">
        <v>7</v>
      </c>
    </row>
    <row r="386" spans="1:19" x14ac:dyDescent="0.25">
      <c r="A386" t="s">
        <v>42</v>
      </c>
      <c r="B386">
        <v>4</v>
      </c>
      <c r="C386" t="s">
        <v>30</v>
      </c>
      <c r="D386" t="s">
        <v>51</v>
      </c>
      <c r="E386" s="2">
        <v>0</v>
      </c>
      <c r="F386">
        <v>0</v>
      </c>
      <c r="G386">
        <v>0</v>
      </c>
      <c r="H386">
        <v>0</v>
      </c>
      <c r="I386" t="s">
        <v>32</v>
      </c>
      <c r="J386">
        <v>0</v>
      </c>
      <c r="M386" t="s">
        <v>44</v>
      </c>
      <c r="N386">
        <v>0</v>
      </c>
      <c r="R386" t="s">
        <v>47</v>
      </c>
      <c r="S386">
        <v>40</v>
      </c>
    </row>
    <row r="387" spans="1:19" x14ac:dyDescent="0.25">
      <c r="A387" t="s">
        <v>42</v>
      </c>
      <c r="B387">
        <v>4</v>
      </c>
      <c r="C387" t="s">
        <v>30</v>
      </c>
      <c r="D387" t="s">
        <v>51</v>
      </c>
      <c r="E387" s="2">
        <v>0</v>
      </c>
      <c r="F387">
        <v>0</v>
      </c>
      <c r="G387">
        <v>0</v>
      </c>
      <c r="H387">
        <v>0</v>
      </c>
      <c r="I387" t="s">
        <v>32</v>
      </c>
      <c r="J387">
        <v>0</v>
      </c>
      <c r="M387" t="s">
        <v>44</v>
      </c>
      <c r="N387">
        <v>14</v>
      </c>
      <c r="R387" t="s">
        <v>47</v>
      </c>
      <c r="S387">
        <v>88</v>
      </c>
    </row>
    <row r="388" spans="1:19" x14ac:dyDescent="0.25">
      <c r="A388" t="s">
        <v>42</v>
      </c>
      <c r="B388">
        <v>4</v>
      </c>
      <c r="C388" t="s">
        <v>30</v>
      </c>
      <c r="D388" t="s">
        <v>51</v>
      </c>
      <c r="E388" s="2">
        <v>0</v>
      </c>
      <c r="F388">
        <v>0</v>
      </c>
      <c r="G388">
        <v>0</v>
      </c>
      <c r="H388">
        <v>0</v>
      </c>
      <c r="I388" t="s">
        <v>32</v>
      </c>
      <c r="J388">
        <v>0</v>
      </c>
      <c r="M388" t="s">
        <v>44</v>
      </c>
      <c r="N388">
        <v>10</v>
      </c>
      <c r="R388" t="s">
        <v>47</v>
      </c>
      <c r="S388">
        <v>121</v>
      </c>
    </row>
    <row r="389" spans="1:19" x14ac:dyDescent="0.25">
      <c r="A389" t="s">
        <v>42</v>
      </c>
      <c r="B389">
        <v>4</v>
      </c>
      <c r="C389" t="s">
        <v>30</v>
      </c>
      <c r="D389" t="s">
        <v>51</v>
      </c>
      <c r="E389" s="2">
        <v>0</v>
      </c>
      <c r="F389">
        <v>0</v>
      </c>
      <c r="G389">
        <v>0</v>
      </c>
      <c r="H389">
        <v>0</v>
      </c>
      <c r="I389" t="s">
        <v>32</v>
      </c>
      <c r="J389">
        <v>0</v>
      </c>
      <c r="M389" t="s">
        <v>44</v>
      </c>
      <c r="N389">
        <v>22</v>
      </c>
      <c r="R389" t="s">
        <v>47</v>
      </c>
      <c r="S389">
        <v>77</v>
      </c>
    </row>
    <row r="390" spans="1:19" x14ac:dyDescent="0.25">
      <c r="A390" t="s">
        <v>42</v>
      </c>
      <c r="B390">
        <v>4</v>
      </c>
      <c r="C390" t="s">
        <v>30</v>
      </c>
      <c r="D390" t="s">
        <v>51</v>
      </c>
      <c r="E390" s="2">
        <v>0</v>
      </c>
      <c r="F390">
        <v>0</v>
      </c>
      <c r="G390">
        <v>0</v>
      </c>
      <c r="H390">
        <v>0</v>
      </c>
      <c r="I390" t="s">
        <v>32</v>
      </c>
      <c r="J390">
        <v>0</v>
      </c>
      <c r="M390" t="s">
        <v>44</v>
      </c>
      <c r="N390">
        <v>0</v>
      </c>
      <c r="R390" t="s">
        <v>47</v>
      </c>
      <c r="S390">
        <v>6</v>
      </c>
    </row>
    <row r="391" spans="1:19" x14ac:dyDescent="0.25">
      <c r="A391" t="s">
        <v>42</v>
      </c>
      <c r="B391">
        <v>4</v>
      </c>
      <c r="C391" t="s">
        <v>30</v>
      </c>
      <c r="D391" t="s">
        <v>51</v>
      </c>
      <c r="E391" s="2">
        <v>0</v>
      </c>
      <c r="F391">
        <v>0</v>
      </c>
      <c r="G391">
        <v>0</v>
      </c>
      <c r="H391">
        <v>0</v>
      </c>
      <c r="I391" t="s">
        <v>32</v>
      </c>
      <c r="J391">
        <v>0</v>
      </c>
      <c r="M391" t="s">
        <v>44</v>
      </c>
      <c r="N391">
        <v>77</v>
      </c>
      <c r="R391" t="s">
        <v>49</v>
      </c>
      <c r="S391">
        <v>54</v>
      </c>
    </row>
    <row r="392" spans="1:19" x14ac:dyDescent="0.25">
      <c r="A392" t="s">
        <v>42</v>
      </c>
      <c r="B392">
        <v>4</v>
      </c>
      <c r="C392" t="s">
        <v>30</v>
      </c>
      <c r="D392" t="s">
        <v>51</v>
      </c>
      <c r="E392" s="2">
        <v>0</v>
      </c>
      <c r="F392">
        <v>0</v>
      </c>
      <c r="G392">
        <v>0</v>
      </c>
      <c r="H392">
        <v>0</v>
      </c>
      <c r="I392" t="s">
        <v>32</v>
      </c>
      <c r="J392">
        <v>0</v>
      </c>
      <c r="M392" t="s">
        <v>44</v>
      </c>
      <c r="N392">
        <v>0</v>
      </c>
      <c r="R392" t="s">
        <v>49</v>
      </c>
      <c r="S392">
        <v>10</v>
      </c>
    </row>
    <row r="393" spans="1:19" x14ac:dyDescent="0.25">
      <c r="A393" t="s">
        <v>42</v>
      </c>
      <c r="B393">
        <v>4</v>
      </c>
      <c r="C393" t="s">
        <v>30</v>
      </c>
      <c r="D393" t="s">
        <v>51</v>
      </c>
      <c r="E393" s="2">
        <v>0</v>
      </c>
      <c r="F393">
        <v>0</v>
      </c>
      <c r="G393">
        <v>0</v>
      </c>
      <c r="H393">
        <v>0</v>
      </c>
      <c r="I393" t="s">
        <v>32</v>
      </c>
      <c r="J393">
        <v>0</v>
      </c>
      <c r="M393" t="s">
        <v>44</v>
      </c>
      <c r="N393">
        <v>53</v>
      </c>
      <c r="R393" t="s">
        <v>49</v>
      </c>
      <c r="S393">
        <v>0</v>
      </c>
    </row>
    <row r="394" spans="1:19" x14ac:dyDescent="0.25">
      <c r="A394" t="s">
        <v>42</v>
      </c>
      <c r="B394">
        <v>4</v>
      </c>
      <c r="C394" t="s">
        <v>30</v>
      </c>
      <c r="D394" t="s">
        <v>51</v>
      </c>
      <c r="E394" s="2">
        <v>0</v>
      </c>
      <c r="F394">
        <v>0</v>
      </c>
      <c r="G394">
        <v>0</v>
      </c>
      <c r="H394">
        <v>0</v>
      </c>
      <c r="I394" t="s">
        <v>32</v>
      </c>
      <c r="J394">
        <v>0</v>
      </c>
      <c r="M394" t="s">
        <v>44</v>
      </c>
      <c r="N394">
        <v>5</v>
      </c>
      <c r="R394" t="s">
        <v>49</v>
      </c>
      <c r="S394">
        <v>0</v>
      </c>
    </row>
    <row r="395" spans="1:19" x14ac:dyDescent="0.25">
      <c r="A395" t="s">
        <v>42</v>
      </c>
      <c r="B395">
        <v>4</v>
      </c>
      <c r="C395" t="s">
        <v>30</v>
      </c>
      <c r="D395" t="s">
        <v>51</v>
      </c>
      <c r="E395" s="2">
        <v>0</v>
      </c>
      <c r="F395">
        <v>0</v>
      </c>
      <c r="G395">
        <v>0</v>
      </c>
      <c r="H395">
        <v>0</v>
      </c>
      <c r="I395" t="s">
        <v>32</v>
      </c>
      <c r="J395">
        <v>0</v>
      </c>
      <c r="M395" t="s">
        <v>44</v>
      </c>
      <c r="N395">
        <v>67</v>
      </c>
      <c r="R395" t="s">
        <v>49</v>
      </c>
      <c r="S395">
        <v>125</v>
      </c>
    </row>
    <row r="396" spans="1:19" x14ac:dyDescent="0.25">
      <c r="A396" t="s">
        <v>42</v>
      </c>
      <c r="B396">
        <v>4</v>
      </c>
      <c r="C396" t="s">
        <v>30</v>
      </c>
      <c r="D396" t="s">
        <v>51</v>
      </c>
      <c r="E396" s="2">
        <v>0</v>
      </c>
      <c r="F396">
        <v>0</v>
      </c>
      <c r="G396">
        <v>0</v>
      </c>
      <c r="H396">
        <v>0</v>
      </c>
      <c r="I396" t="s">
        <v>32</v>
      </c>
      <c r="J396">
        <v>0</v>
      </c>
      <c r="M396" t="s">
        <v>44</v>
      </c>
      <c r="N396">
        <v>58</v>
      </c>
      <c r="R396" t="s">
        <v>49</v>
      </c>
      <c r="S396">
        <v>0</v>
      </c>
    </row>
    <row r="397" spans="1:19" x14ac:dyDescent="0.25">
      <c r="A397" t="s">
        <v>52</v>
      </c>
      <c r="B397">
        <v>4</v>
      </c>
      <c r="C397" t="s">
        <v>34</v>
      </c>
      <c r="D397" t="s">
        <v>53</v>
      </c>
      <c r="E397" s="2">
        <v>0</v>
      </c>
      <c r="F397">
        <v>0</v>
      </c>
      <c r="G397">
        <v>0</v>
      </c>
      <c r="H397">
        <v>0</v>
      </c>
      <c r="I397" t="s">
        <v>32</v>
      </c>
      <c r="J397">
        <v>0</v>
      </c>
      <c r="M397" t="s">
        <v>44</v>
      </c>
      <c r="N397">
        <v>67</v>
      </c>
      <c r="R397" t="s">
        <v>49</v>
      </c>
      <c r="S397">
        <v>47</v>
      </c>
    </row>
    <row r="398" spans="1:19" x14ac:dyDescent="0.25">
      <c r="A398" t="s">
        <v>52</v>
      </c>
      <c r="B398">
        <v>4</v>
      </c>
      <c r="C398" t="s">
        <v>34</v>
      </c>
      <c r="D398" t="s">
        <v>53</v>
      </c>
      <c r="E398" s="2">
        <v>0</v>
      </c>
      <c r="F398">
        <v>0</v>
      </c>
      <c r="G398">
        <v>0</v>
      </c>
      <c r="H398">
        <v>0</v>
      </c>
      <c r="I398" t="s">
        <v>32</v>
      </c>
      <c r="J398">
        <v>0</v>
      </c>
      <c r="M398" t="s">
        <v>44</v>
      </c>
      <c r="N398">
        <v>44</v>
      </c>
      <c r="R398" t="s">
        <v>49</v>
      </c>
      <c r="S398">
        <v>149</v>
      </c>
    </row>
    <row r="399" spans="1:19" x14ac:dyDescent="0.25">
      <c r="A399" t="s">
        <v>52</v>
      </c>
      <c r="B399">
        <v>4</v>
      </c>
      <c r="C399" t="s">
        <v>34</v>
      </c>
      <c r="D399" t="s">
        <v>53</v>
      </c>
      <c r="E399" s="2">
        <v>0</v>
      </c>
      <c r="F399">
        <v>0</v>
      </c>
      <c r="G399">
        <v>0</v>
      </c>
      <c r="H399">
        <v>0</v>
      </c>
      <c r="I399" t="s">
        <v>32</v>
      </c>
      <c r="J399">
        <v>0</v>
      </c>
      <c r="M399" t="s">
        <v>44</v>
      </c>
      <c r="N399">
        <v>81</v>
      </c>
      <c r="R399" t="s">
        <v>49</v>
      </c>
      <c r="S399">
        <v>8</v>
      </c>
    </row>
    <row r="400" spans="1:19" x14ac:dyDescent="0.25">
      <c r="A400" t="s">
        <v>52</v>
      </c>
      <c r="B400">
        <v>4</v>
      </c>
      <c r="C400" t="s">
        <v>34</v>
      </c>
      <c r="D400" t="s">
        <v>53</v>
      </c>
      <c r="E400" s="2">
        <v>0</v>
      </c>
      <c r="F400">
        <v>0</v>
      </c>
      <c r="G400">
        <v>0</v>
      </c>
      <c r="H400">
        <v>0</v>
      </c>
      <c r="I400" t="s">
        <v>32</v>
      </c>
      <c r="J400">
        <v>0</v>
      </c>
      <c r="M400" t="s">
        <v>44</v>
      </c>
      <c r="N400">
        <v>56</v>
      </c>
      <c r="R400" t="s">
        <v>49</v>
      </c>
      <c r="S400">
        <v>4</v>
      </c>
    </row>
    <row r="401" spans="1:19" x14ac:dyDescent="0.25">
      <c r="A401" t="s">
        <v>52</v>
      </c>
      <c r="B401">
        <v>4</v>
      </c>
      <c r="C401" t="s">
        <v>34</v>
      </c>
      <c r="D401" t="s">
        <v>53</v>
      </c>
      <c r="E401" s="2">
        <v>0</v>
      </c>
      <c r="F401">
        <v>0</v>
      </c>
      <c r="G401">
        <v>0</v>
      </c>
      <c r="H401">
        <v>0</v>
      </c>
      <c r="I401" t="s">
        <v>32</v>
      </c>
      <c r="J401">
        <v>0</v>
      </c>
      <c r="M401" t="s">
        <v>44</v>
      </c>
      <c r="N401">
        <v>0</v>
      </c>
      <c r="R401" t="s">
        <v>49</v>
      </c>
      <c r="S401">
        <v>10</v>
      </c>
    </row>
    <row r="402" spans="1:19" x14ac:dyDescent="0.25">
      <c r="A402" t="s">
        <v>52</v>
      </c>
      <c r="B402">
        <v>4</v>
      </c>
      <c r="C402" t="s">
        <v>34</v>
      </c>
      <c r="D402" t="s">
        <v>53</v>
      </c>
      <c r="E402" s="2">
        <v>0</v>
      </c>
      <c r="F402">
        <v>0</v>
      </c>
      <c r="G402">
        <v>0</v>
      </c>
      <c r="H402">
        <v>0</v>
      </c>
      <c r="I402" t="s">
        <v>32</v>
      </c>
      <c r="J402">
        <v>0</v>
      </c>
      <c r="M402" t="s">
        <v>44</v>
      </c>
      <c r="N402">
        <v>0</v>
      </c>
      <c r="R402" t="s">
        <v>49</v>
      </c>
      <c r="S402">
        <v>5</v>
      </c>
    </row>
    <row r="403" spans="1:19" x14ac:dyDescent="0.25">
      <c r="A403" t="s">
        <v>52</v>
      </c>
      <c r="B403">
        <v>4</v>
      </c>
      <c r="C403" t="s">
        <v>34</v>
      </c>
      <c r="D403" t="s">
        <v>53</v>
      </c>
      <c r="E403" s="2">
        <v>0</v>
      </c>
      <c r="F403">
        <v>0</v>
      </c>
      <c r="G403">
        <v>0</v>
      </c>
      <c r="H403">
        <v>0</v>
      </c>
      <c r="I403" t="s">
        <v>32</v>
      </c>
      <c r="J403">
        <v>0</v>
      </c>
      <c r="M403" t="s">
        <v>46</v>
      </c>
      <c r="N403">
        <v>44</v>
      </c>
      <c r="R403" t="s">
        <v>49</v>
      </c>
      <c r="S403">
        <v>6</v>
      </c>
    </row>
    <row r="404" spans="1:19" x14ac:dyDescent="0.25">
      <c r="A404" t="s">
        <v>52</v>
      </c>
      <c r="B404">
        <v>4</v>
      </c>
      <c r="C404" t="s">
        <v>34</v>
      </c>
      <c r="D404" t="s">
        <v>53</v>
      </c>
      <c r="E404" s="2">
        <v>0</v>
      </c>
      <c r="F404">
        <v>0</v>
      </c>
      <c r="G404">
        <v>0</v>
      </c>
      <c r="H404">
        <v>0</v>
      </c>
      <c r="I404" t="s">
        <v>32</v>
      </c>
      <c r="J404">
        <v>0</v>
      </c>
      <c r="M404" t="s">
        <v>46</v>
      </c>
      <c r="N404">
        <v>13</v>
      </c>
      <c r="R404" t="s">
        <v>49</v>
      </c>
      <c r="S404">
        <v>0</v>
      </c>
    </row>
    <row r="405" spans="1:19" x14ac:dyDescent="0.25">
      <c r="A405" t="s">
        <v>52</v>
      </c>
      <c r="B405">
        <v>4</v>
      </c>
      <c r="C405" t="s">
        <v>34</v>
      </c>
      <c r="D405" t="s">
        <v>53</v>
      </c>
      <c r="E405" s="2">
        <v>0</v>
      </c>
      <c r="F405">
        <v>0</v>
      </c>
      <c r="G405">
        <v>0</v>
      </c>
      <c r="H405">
        <v>0</v>
      </c>
      <c r="I405" t="s">
        <v>32</v>
      </c>
      <c r="J405">
        <v>0</v>
      </c>
      <c r="M405" t="s">
        <v>46</v>
      </c>
      <c r="N405">
        <v>0</v>
      </c>
      <c r="R405" t="s">
        <v>49</v>
      </c>
      <c r="S405">
        <v>5</v>
      </c>
    </row>
    <row r="406" spans="1:19" x14ac:dyDescent="0.25">
      <c r="A406" t="s">
        <v>52</v>
      </c>
      <c r="B406">
        <v>4</v>
      </c>
      <c r="C406" t="s">
        <v>34</v>
      </c>
      <c r="D406" t="s">
        <v>53</v>
      </c>
      <c r="E406" s="2">
        <v>0</v>
      </c>
      <c r="F406">
        <v>0</v>
      </c>
      <c r="G406">
        <v>0</v>
      </c>
      <c r="H406">
        <v>0</v>
      </c>
      <c r="I406" t="s">
        <v>32</v>
      </c>
      <c r="J406">
        <v>0</v>
      </c>
      <c r="M406" t="s">
        <v>46</v>
      </c>
      <c r="N406">
        <v>0</v>
      </c>
      <c r="R406" t="s">
        <v>49</v>
      </c>
      <c r="S406">
        <v>26</v>
      </c>
    </row>
    <row r="407" spans="1:19" x14ac:dyDescent="0.25">
      <c r="A407" t="s">
        <v>52</v>
      </c>
      <c r="B407">
        <v>4</v>
      </c>
      <c r="C407" t="s">
        <v>34</v>
      </c>
      <c r="D407" t="s">
        <v>53</v>
      </c>
      <c r="E407" s="2">
        <v>0</v>
      </c>
      <c r="F407">
        <v>0</v>
      </c>
      <c r="G407">
        <v>0</v>
      </c>
      <c r="H407">
        <v>0</v>
      </c>
      <c r="I407" t="s">
        <v>32</v>
      </c>
      <c r="J407">
        <v>0</v>
      </c>
      <c r="M407" t="s">
        <v>46</v>
      </c>
      <c r="N407">
        <v>59</v>
      </c>
      <c r="R407" t="s">
        <v>49</v>
      </c>
      <c r="S407">
        <v>15</v>
      </c>
    </row>
    <row r="408" spans="1:19" x14ac:dyDescent="0.25">
      <c r="A408" t="s">
        <v>52</v>
      </c>
      <c r="B408">
        <v>4</v>
      </c>
      <c r="C408" t="s">
        <v>34</v>
      </c>
      <c r="D408" t="s">
        <v>53</v>
      </c>
      <c r="E408" s="2">
        <v>0</v>
      </c>
      <c r="F408">
        <v>0</v>
      </c>
      <c r="G408">
        <v>0</v>
      </c>
      <c r="H408">
        <v>0</v>
      </c>
      <c r="I408" t="s">
        <v>32</v>
      </c>
      <c r="J408">
        <v>0</v>
      </c>
      <c r="M408" t="s">
        <v>46</v>
      </c>
      <c r="N408">
        <v>0</v>
      </c>
      <c r="R408" t="s">
        <v>49</v>
      </c>
      <c r="S408">
        <v>54</v>
      </c>
    </row>
    <row r="409" spans="1:19" x14ac:dyDescent="0.25">
      <c r="A409" t="s">
        <v>52</v>
      </c>
      <c r="B409">
        <v>4</v>
      </c>
      <c r="C409" t="s">
        <v>34</v>
      </c>
      <c r="D409" t="s">
        <v>53</v>
      </c>
      <c r="E409" s="2">
        <v>0</v>
      </c>
      <c r="F409">
        <v>0</v>
      </c>
      <c r="G409">
        <v>0</v>
      </c>
      <c r="H409">
        <v>0</v>
      </c>
      <c r="I409" t="s">
        <v>32</v>
      </c>
      <c r="J409">
        <v>0</v>
      </c>
      <c r="M409" t="s">
        <v>46</v>
      </c>
      <c r="N409">
        <v>0</v>
      </c>
      <c r="R409" t="s">
        <v>49</v>
      </c>
      <c r="S409">
        <v>8</v>
      </c>
    </row>
    <row r="410" spans="1:19" x14ac:dyDescent="0.25">
      <c r="A410" t="s">
        <v>52</v>
      </c>
      <c r="B410">
        <v>4</v>
      </c>
      <c r="C410" t="s">
        <v>34</v>
      </c>
      <c r="D410" t="s">
        <v>53</v>
      </c>
      <c r="E410" s="2">
        <v>0</v>
      </c>
      <c r="F410">
        <v>0</v>
      </c>
      <c r="G410">
        <v>0</v>
      </c>
      <c r="H410">
        <v>0</v>
      </c>
      <c r="I410" t="s">
        <v>32</v>
      </c>
      <c r="J410">
        <v>0</v>
      </c>
      <c r="M410" t="s">
        <v>46</v>
      </c>
      <c r="N410">
        <v>0</v>
      </c>
      <c r="R410" t="s">
        <v>49</v>
      </c>
      <c r="S410">
        <v>46</v>
      </c>
    </row>
    <row r="411" spans="1:19" x14ac:dyDescent="0.25">
      <c r="A411" t="s">
        <v>52</v>
      </c>
      <c r="B411">
        <v>4</v>
      </c>
      <c r="C411" t="s">
        <v>34</v>
      </c>
      <c r="D411" t="s">
        <v>53</v>
      </c>
      <c r="E411" s="2">
        <v>0</v>
      </c>
      <c r="F411">
        <v>0</v>
      </c>
      <c r="G411">
        <v>0</v>
      </c>
      <c r="H411">
        <v>0</v>
      </c>
      <c r="I411" t="s">
        <v>32</v>
      </c>
      <c r="J411">
        <v>0</v>
      </c>
      <c r="M411" t="s">
        <v>46</v>
      </c>
      <c r="N411">
        <v>15</v>
      </c>
      <c r="R411" t="s">
        <v>49</v>
      </c>
      <c r="S411">
        <v>0</v>
      </c>
    </row>
    <row r="412" spans="1:19" x14ac:dyDescent="0.25">
      <c r="A412" t="s">
        <v>52</v>
      </c>
      <c r="B412">
        <v>4</v>
      </c>
      <c r="C412" t="s">
        <v>34</v>
      </c>
      <c r="D412" t="s">
        <v>53</v>
      </c>
      <c r="E412" s="2">
        <v>0</v>
      </c>
      <c r="F412">
        <v>0</v>
      </c>
      <c r="G412">
        <v>0</v>
      </c>
      <c r="H412">
        <v>0</v>
      </c>
      <c r="I412" t="s">
        <v>32</v>
      </c>
      <c r="J412">
        <v>0</v>
      </c>
      <c r="M412" t="s">
        <v>46</v>
      </c>
      <c r="N412">
        <v>0</v>
      </c>
      <c r="R412" t="s">
        <v>49</v>
      </c>
      <c r="S412">
        <v>0</v>
      </c>
    </row>
    <row r="413" spans="1:19" x14ac:dyDescent="0.25">
      <c r="A413" t="s">
        <v>52</v>
      </c>
      <c r="B413">
        <v>4</v>
      </c>
      <c r="C413" t="s">
        <v>34</v>
      </c>
      <c r="D413" t="s">
        <v>53</v>
      </c>
      <c r="E413" s="2">
        <v>0</v>
      </c>
      <c r="F413">
        <v>0</v>
      </c>
      <c r="G413">
        <v>0</v>
      </c>
      <c r="H413">
        <v>0</v>
      </c>
      <c r="I413" t="s">
        <v>32</v>
      </c>
      <c r="J413">
        <v>0</v>
      </c>
      <c r="M413" t="s">
        <v>46</v>
      </c>
      <c r="N413">
        <v>17</v>
      </c>
      <c r="R413" t="s">
        <v>49</v>
      </c>
      <c r="S413">
        <v>0</v>
      </c>
    </row>
    <row r="414" spans="1:19" x14ac:dyDescent="0.25">
      <c r="A414" t="s">
        <v>52</v>
      </c>
      <c r="B414">
        <v>4</v>
      </c>
      <c r="C414" t="s">
        <v>34</v>
      </c>
      <c r="D414" t="s">
        <v>53</v>
      </c>
      <c r="E414" s="2">
        <v>0</v>
      </c>
      <c r="F414">
        <v>0</v>
      </c>
      <c r="G414">
        <v>0</v>
      </c>
      <c r="H414">
        <v>0</v>
      </c>
      <c r="I414" t="s">
        <v>32</v>
      </c>
      <c r="J414">
        <v>0</v>
      </c>
      <c r="M414" t="s">
        <v>46</v>
      </c>
      <c r="N414">
        <v>0</v>
      </c>
      <c r="R414" t="s">
        <v>49</v>
      </c>
      <c r="S414">
        <v>0</v>
      </c>
    </row>
    <row r="415" spans="1:19" x14ac:dyDescent="0.25">
      <c r="A415" t="s">
        <v>52</v>
      </c>
      <c r="B415">
        <v>4</v>
      </c>
      <c r="C415" t="s">
        <v>34</v>
      </c>
      <c r="D415" t="s">
        <v>53</v>
      </c>
      <c r="E415" s="2">
        <v>0</v>
      </c>
      <c r="F415">
        <v>0</v>
      </c>
      <c r="G415">
        <v>0</v>
      </c>
      <c r="H415">
        <v>0</v>
      </c>
      <c r="I415" t="s">
        <v>32</v>
      </c>
      <c r="J415">
        <v>0</v>
      </c>
      <c r="M415" t="s">
        <v>46</v>
      </c>
      <c r="N415">
        <v>0</v>
      </c>
      <c r="R415" t="s">
        <v>49</v>
      </c>
      <c r="S415">
        <v>0</v>
      </c>
    </row>
    <row r="416" spans="1:19" x14ac:dyDescent="0.25">
      <c r="A416" t="s">
        <v>52</v>
      </c>
      <c r="B416">
        <v>4</v>
      </c>
      <c r="C416" t="s">
        <v>34</v>
      </c>
      <c r="D416" t="s">
        <v>53</v>
      </c>
      <c r="E416" s="2">
        <v>0</v>
      </c>
      <c r="F416">
        <v>0</v>
      </c>
      <c r="G416">
        <v>0</v>
      </c>
      <c r="H416">
        <v>0</v>
      </c>
      <c r="I416" t="s">
        <v>32</v>
      </c>
      <c r="J416">
        <v>0</v>
      </c>
      <c r="M416" t="s">
        <v>46</v>
      </c>
      <c r="N416">
        <v>54</v>
      </c>
      <c r="R416" t="s">
        <v>49</v>
      </c>
      <c r="S416">
        <v>0</v>
      </c>
    </row>
    <row r="417" spans="1:19" x14ac:dyDescent="0.25">
      <c r="A417" t="s">
        <v>52</v>
      </c>
      <c r="B417">
        <v>4</v>
      </c>
      <c r="C417" t="s">
        <v>34</v>
      </c>
      <c r="D417" t="s">
        <v>53</v>
      </c>
      <c r="E417" s="2">
        <v>0</v>
      </c>
      <c r="F417">
        <v>0</v>
      </c>
      <c r="G417">
        <v>0</v>
      </c>
      <c r="H417">
        <v>0</v>
      </c>
      <c r="I417" t="s">
        <v>32</v>
      </c>
      <c r="J417">
        <v>0</v>
      </c>
      <c r="M417" t="s">
        <v>46</v>
      </c>
      <c r="N417">
        <v>4</v>
      </c>
      <c r="R417" t="s">
        <v>49</v>
      </c>
      <c r="S417">
        <v>18</v>
      </c>
    </row>
    <row r="418" spans="1:19" x14ac:dyDescent="0.25">
      <c r="A418" t="s">
        <v>52</v>
      </c>
      <c r="B418">
        <v>4</v>
      </c>
      <c r="C418" t="s">
        <v>34</v>
      </c>
      <c r="D418" t="s">
        <v>53</v>
      </c>
      <c r="E418" s="2">
        <v>0</v>
      </c>
      <c r="F418">
        <v>0</v>
      </c>
      <c r="G418">
        <v>0</v>
      </c>
      <c r="H418">
        <v>0</v>
      </c>
      <c r="I418" t="s">
        <v>32</v>
      </c>
      <c r="J418">
        <v>0</v>
      </c>
      <c r="M418" t="s">
        <v>46</v>
      </c>
      <c r="N418">
        <v>0</v>
      </c>
      <c r="R418" t="s">
        <v>49</v>
      </c>
      <c r="S418">
        <v>0</v>
      </c>
    </row>
    <row r="419" spans="1:19" x14ac:dyDescent="0.25">
      <c r="A419" t="s">
        <v>52</v>
      </c>
      <c r="B419">
        <v>4</v>
      </c>
      <c r="C419" t="s">
        <v>34</v>
      </c>
      <c r="D419" t="s">
        <v>53</v>
      </c>
      <c r="E419" s="2">
        <v>0</v>
      </c>
      <c r="F419">
        <v>0</v>
      </c>
      <c r="G419">
        <v>0</v>
      </c>
      <c r="H419">
        <v>0</v>
      </c>
      <c r="I419" t="s">
        <v>32</v>
      </c>
      <c r="J419">
        <v>0</v>
      </c>
      <c r="M419" t="s">
        <v>46</v>
      </c>
      <c r="N419">
        <v>16</v>
      </c>
      <c r="R419" t="s">
        <v>49</v>
      </c>
      <c r="S419">
        <v>0</v>
      </c>
    </row>
    <row r="420" spans="1:19" x14ac:dyDescent="0.25">
      <c r="A420" t="s">
        <v>52</v>
      </c>
      <c r="B420">
        <v>4</v>
      </c>
      <c r="C420" t="s">
        <v>34</v>
      </c>
      <c r="D420" t="s">
        <v>53</v>
      </c>
      <c r="E420" s="2">
        <v>0</v>
      </c>
      <c r="F420">
        <v>0</v>
      </c>
      <c r="G420">
        <v>0</v>
      </c>
      <c r="H420">
        <v>0</v>
      </c>
      <c r="I420" t="s">
        <v>32</v>
      </c>
      <c r="J420">
        <v>0</v>
      </c>
      <c r="M420" t="s">
        <v>46</v>
      </c>
      <c r="N420">
        <v>0</v>
      </c>
      <c r="R420" t="s">
        <v>49</v>
      </c>
      <c r="S420">
        <v>7</v>
      </c>
    </row>
    <row r="421" spans="1:19" x14ac:dyDescent="0.25">
      <c r="A421" t="s">
        <v>52</v>
      </c>
      <c r="B421">
        <v>4</v>
      </c>
      <c r="C421" t="s">
        <v>34</v>
      </c>
      <c r="D421" t="s">
        <v>53</v>
      </c>
      <c r="E421" s="2">
        <v>0</v>
      </c>
      <c r="F421">
        <v>0</v>
      </c>
      <c r="G421">
        <v>0</v>
      </c>
      <c r="H421">
        <v>0</v>
      </c>
      <c r="I421" t="s">
        <v>32</v>
      </c>
      <c r="J421">
        <v>0</v>
      </c>
      <c r="M421" t="s">
        <v>46</v>
      </c>
      <c r="N421">
        <v>0</v>
      </c>
      <c r="R421" t="s">
        <v>49</v>
      </c>
      <c r="S421">
        <v>0</v>
      </c>
    </row>
    <row r="422" spans="1:19" x14ac:dyDescent="0.25">
      <c r="A422" t="s">
        <v>52</v>
      </c>
      <c r="B422">
        <v>4</v>
      </c>
      <c r="C422" t="s">
        <v>34</v>
      </c>
      <c r="D422" t="s">
        <v>53</v>
      </c>
      <c r="E422" s="2">
        <v>0</v>
      </c>
      <c r="F422">
        <v>0</v>
      </c>
      <c r="G422">
        <v>0</v>
      </c>
      <c r="H422">
        <v>0</v>
      </c>
      <c r="I422" t="s">
        <v>32</v>
      </c>
      <c r="J422">
        <v>0</v>
      </c>
      <c r="M422" t="s">
        <v>46</v>
      </c>
      <c r="N422">
        <v>68</v>
      </c>
      <c r="R422" t="s">
        <v>49</v>
      </c>
      <c r="S422">
        <v>0</v>
      </c>
    </row>
    <row r="423" spans="1:19" x14ac:dyDescent="0.25">
      <c r="A423" t="s">
        <v>52</v>
      </c>
      <c r="B423">
        <v>4</v>
      </c>
      <c r="C423" t="s">
        <v>34</v>
      </c>
      <c r="D423" t="s">
        <v>53</v>
      </c>
      <c r="E423" s="2">
        <v>0</v>
      </c>
      <c r="F423">
        <v>0</v>
      </c>
      <c r="G423">
        <v>0</v>
      </c>
      <c r="H423">
        <v>0</v>
      </c>
      <c r="I423" t="s">
        <v>32</v>
      </c>
      <c r="J423">
        <v>0</v>
      </c>
      <c r="M423" t="s">
        <v>46</v>
      </c>
      <c r="N423">
        <v>8</v>
      </c>
      <c r="R423" t="s">
        <v>49</v>
      </c>
      <c r="S423">
        <v>6</v>
      </c>
    </row>
    <row r="424" spans="1:19" x14ac:dyDescent="0.25">
      <c r="A424" t="s">
        <v>52</v>
      </c>
      <c r="B424">
        <v>4</v>
      </c>
      <c r="C424" t="s">
        <v>34</v>
      </c>
      <c r="D424" t="s">
        <v>53</v>
      </c>
      <c r="E424" s="2">
        <v>0</v>
      </c>
      <c r="F424">
        <v>0</v>
      </c>
      <c r="G424">
        <v>0</v>
      </c>
      <c r="H424">
        <v>0</v>
      </c>
      <c r="I424" t="s">
        <v>32</v>
      </c>
      <c r="J424">
        <v>0</v>
      </c>
      <c r="M424" t="s">
        <v>46</v>
      </c>
      <c r="N424">
        <v>0</v>
      </c>
      <c r="R424" t="s">
        <v>49</v>
      </c>
      <c r="S424">
        <v>124</v>
      </c>
    </row>
    <row r="425" spans="1:19" x14ac:dyDescent="0.25">
      <c r="A425" t="s">
        <v>52</v>
      </c>
      <c r="B425">
        <v>4</v>
      </c>
      <c r="C425" t="s">
        <v>34</v>
      </c>
      <c r="D425" t="s">
        <v>53</v>
      </c>
      <c r="E425" s="2">
        <v>0</v>
      </c>
      <c r="F425">
        <v>0</v>
      </c>
      <c r="G425">
        <v>0</v>
      </c>
      <c r="H425">
        <v>0</v>
      </c>
      <c r="I425" t="s">
        <v>32</v>
      </c>
      <c r="J425">
        <v>0</v>
      </c>
      <c r="M425" t="s">
        <v>46</v>
      </c>
      <c r="N425">
        <v>15</v>
      </c>
      <c r="R425" t="s">
        <v>49</v>
      </c>
      <c r="S425">
        <v>6</v>
      </c>
    </row>
    <row r="426" spans="1:19" x14ac:dyDescent="0.25">
      <c r="A426" t="s">
        <v>52</v>
      </c>
      <c r="B426">
        <v>4</v>
      </c>
      <c r="C426" t="s">
        <v>34</v>
      </c>
      <c r="D426" t="s">
        <v>53</v>
      </c>
      <c r="E426" s="2">
        <v>0</v>
      </c>
      <c r="F426">
        <v>0</v>
      </c>
      <c r="G426">
        <v>0</v>
      </c>
      <c r="H426">
        <v>0</v>
      </c>
      <c r="I426" t="s">
        <v>32</v>
      </c>
      <c r="J426">
        <v>0</v>
      </c>
      <c r="M426" t="s">
        <v>46</v>
      </c>
      <c r="N426">
        <v>0</v>
      </c>
      <c r="R426" t="s">
        <v>49</v>
      </c>
      <c r="S426">
        <v>0</v>
      </c>
    </row>
    <row r="427" spans="1:19" x14ac:dyDescent="0.25">
      <c r="A427" t="s">
        <v>52</v>
      </c>
      <c r="B427">
        <v>4</v>
      </c>
      <c r="C427" t="s">
        <v>34</v>
      </c>
      <c r="D427" t="s">
        <v>53</v>
      </c>
      <c r="E427" s="2">
        <v>0</v>
      </c>
      <c r="F427">
        <v>0</v>
      </c>
      <c r="G427">
        <v>0</v>
      </c>
      <c r="H427">
        <v>0</v>
      </c>
      <c r="I427" t="s">
        <v>32</v>
      </c>
      <c r="J427">
        <v>0</v>
      </c>
      <c r="M427" t="s">
        <v>46</v>
      </c>
      <c r="N427">
        <v>32</v>
      </c>
      <c r="R427" t="s">
        <v>49</v>
      </c>
      <c r="S427">
        <v>78</v>
      </c>
    </row>
    <row r="428" spans="1:19" x14ac:dyDescent="0.25">
      <c r="A428" t="s">
        <v>52</v>
      </c>
      <c r="B428">
        <v>4</v>
      </c>
      <c r="C428" t="s">
        <v>34</v>
      </c>
      <c r="D428" t="s">
        <v>53</v>
      </c>
      <c r="E428" s="2">
        <v>0</v>
      </c>
      <c r="F428">
        <v>0</v>
      </c>
      <c r="G428">
        <v>0</v>
      </c>
      <c r="H428">
        <v>0</v>
      </c>
      <c r="I428" t="s">
        <v>32</v>
      </c>
      <c r="J428">
        <v>0</v>
      </c>
      <c r="M428" t="s">
        <v>46</v>
      </c>
      <c r="N428">
        <v>0</v>
      </c>
      <c r="R428" t="s">
        <v>49</v>
      </c>
      <c r="S428">
        <v>235</v>
      </c>
    </row>
    <row r="429" spans="1:19" x14ac:dyDescent="0.25">
      <c r="A429" t="s">
        <v>52</v>
      </c>
      <c r="B429">
        <v>4</v>
      </c>
      <c r="C429" t="s">
        <v>34</v>
      </c>
      <c r="D429" t="s">
        <v>53</v>
      </c>
      <c r="E429" s="2">
        <v>0</v>
      </c>
      <c r="F429">
        <v>0</v>
      </c>
      <c r="G429">
        <v>0</v>
      </c>
      <c r="H429">
        <v>0</v>
      </c>
      <c r="I429" t="s">
        <v>32</v>
      </c>
      <c r="J429">
        <v>0</v>
      </c>
      <c r="M429" t="s">
        <v>46</v>
      </c>
      <c r="N429">
        <v>0</v>
      </c>
      <c r="R429" t="s">
        <v>49</v>
      </c>
      <c r="S429">
        <v>0</v>
      </c>
    </row>
    <row r="430" spans="1:19" x14ac:dyDescent="0.25">
      <c r="A430" t="s">
        <v>52</v>
      </c>
      <c r="B430">
        <v>4</v>
      </c>
      <c r="C430" t="s">
        <v>34</v>
      </c>
      <c r="D430" t="s">
        <v>53</v>
      </c>
      <c r="E430" s="2">
        <v>0</v>
      </c>
      <c r="F430">
        <v>0</v>
      </c>
      <c r="G430">
        <v>0</v>
      </c>
      <c r="H430">
        <v>0</v>
      </c>
      <c r="I430" t="s">
        <v>32</v>
      </c>
      <c r="J430">
        <v>0</v>
      </c>
      <c r="M430" t="s">
        <v>46</v>
      </c>
      <c r="N430">
        <v>0</v>
      </c>
      <c r="R430" t="s">
        <v>49</v>
      </c>
      <c r="S430">
        <v>0</v>
      </c>
    </row>
    <row r="431" spans="1:19" x14ac:dyDescent="0.25">
      <c r="A431" t="s">
        <v>54</v>
      </c>
      <c r="B431">
        <v>1</v>
      </c>
      <c r="C431" t="s">
        <v>30</v>
      </c>
      <c r="D431" t="s">
        <v>55</v>
      </c>
      <c r="E431" s="2">
        <v>0</v>
      </c>
      <c r="F431">
        <v>0</v>
      </c>
      <c r="G431">
        <v>0</v>
      </c>
      <c r="H431">
        <v>0</v>
      </c>
      <c r="I431" t="s">
        <v>32</v>
      </c>
      <c r="J431">
        <v>0</v>
      </c>
      <c r="M431" t="s">
        <v>46</v>
      </c>
      <c r="N431">
        <v>0</v>
      </c>
      <c r="R431" t="s">
        <v>49</v>
      </c>
      <c r="S431">
        <v>0</v>
      </c>
    </row>
    <row r="432" spans="1:19" x14ac:dyDescent="0.25">
      <c r="A432" t="s">
        <v>54</v>
      </c>
      <c r="B432">
        <v>1</v>
      </c>
      <c r="C432" t="s">
        <v>30</v>
      </c>
      <c r="D432" t="s">
        <v>55</v>
      </c>
      <c r="E432" s="2">
        <v>0</v>
      </c>
      <c r="F432">
        <v>0</v>
      </c>
      <c r="G432">
        <v>0</v>
      </c>
      <c r="H432">
        <v>0</v>
      </c>
      <c r="I432" t="s">
        <v>32</v>
      </c>
      <c r="J432">
        <v>0</v>
      </c>
      <c r="M432" t="s">
        <v>46</v>
      </c>
      <c r="N432">
        <v>3</v>
      </c>
      <c r="R432" t="s">
        <v>49</v>
      </c>
      <c r="S432">
        <v>7</v>
      </c>
    </row>
    <row r="433" spans="1:19" x14ac:dyDescent="0.25">
      <c r="A433" t="s">
        <v>54</v>
      </c>
      <c r="B433">
        <v>1</v>
      </c>
      <c r="C433" t="s">
        <v>30</v>
      </c>
      <c r="D433" t="s">
        <v>55</v>
      </c>
      <c r="E433" s="2">
        <v>0</v>
      </c>
      <c r="F433">
        <v>0</v>
      </c>
      <c r="G433">
        <v>0</v>
      </c>
      <c r="H433">
        <v>0</v>
      </c>
      <c r="I433" t="s">
        <v>32</v>
      </c>
      <c r="J433">
        <v>0</v>
      </c>
      <c r="M433" t="s">
        <v>46</v>
      </c>
      <c r="N433">
        <v>0</v>
      </c>
      <c r="R433" t="s">
        <v>49</v>
      </c>
      <c r="S433">
        <v>7</v>
      </c>
    </row>
    <row r="434" spans="1:19" x14ac:dyDescent="0.25">
      <c r="A434" t="s">
        <v>54</v>
      </c>
      <c r="B434">
        <v>1</v>
      </c>
      <c r="C434" t="s">
        <v>30</v>
      </c>
      <c r="D434" t="s">
        <v>55</v>
      </c>
      <c r="E434" s="2">
        <v>0</v>
      </c>
      <c r="F434">
        <v>0</v>
      </c>
      <c r="G434">
        <v>0</v>
      </c>
      <c r="H434">
        <v>0</v>
      </c>
      <c r="I434" t="s">
        <v>32</v>
      </c>
      <c r="J434">
        <v>0</v>
      </c>
      <c r="M434" t="s">
        <v>46</v>
      </c>
      <c r="N434">
        <v>5</v>
      </c>
      <c r="R434" t="s">
        <v>49</v>
      </c>
      <c r="S434">
        <v>125</v>
      </c>
    </row>
    <row r="435" spans="1:19" x14ac:dyDescent="0.25">
      <c r="A435" t="s">
        <v>54</v>
      </c>
      <c r="B435">
        <v>1</v>
      </c>
      <c r="C435" t="s">
        <v>30</v>
      </c>
      <c r="D435" t="s">
        <v>55</v>
      </c>
      <c r="E435" s="2">
        <v>0</v>
      </c>
      <c r="F435">
        <v>0</v>
      </c>
      <c r="G435">
        <v>0</v>
      </c>
      <c r="H435">
        <v>0</v>
      </c>
      <c r="I435" t="s">
        <v>32</v>
      </c>
      <c r="J435">
        <v>0</v>
      </c>
      <c r="M435" t="s">
        <v>46</v>
      </c>
      <c r="N435">
        <v>56</v>
      </c>
      <c r="R435" t="s">
        <v>49</v>
      </c>
      <c r="S435">
        <v>0</v>
      </c>
    </row>
    <row r="436" spans="1:19" x14ac:dyDescent="0.25">
      <c r="A436" t="s">
        <v>54</v>
      </c>
      <c r="B436">
        <v>1</v>
      </c>
      <c r="C436" t="s">
        <v>30</v>
      </c>
      <c r="D436" t="s">
        <v>55</v>
      </c>
      <c r="E436" s="2">
        <v>0</v>
      </c>
      <c r="F436">
        <v>0</v>
      </c>
      <c r="G436">
        <v>0</v>
      </c>
      <c r="H436">
        <v>0</v>
      </c>
      <c r="I436" t="s">
        <v>32</v>
      </c>
      <c r="J436">
        <v>0</v>
      </c>
      <c r="M436" t="s">
        <v>46</v>
      </c>
      <c r="N436">
        <v>66</v>
      </c>
      <c r="R436" t="s">
        <v>49</v>
      </c>
      <c r="S436">
        <v>25</v>
      </c>
    </row>
    <row r="437" spans="1:19" x14ac:dyDescent="0.25">
      <c r="A437" t="s">
        <v>54</v>
      </c>
      <c r="B437">
        <v>1</v>
      </c>
      <c r="C437" t="s">
        <v>30</v>
      </c>
      <c r="D437" t="s">
        <v>55</v>
      </c>
      <c r="E437" s="2">
        <v>0</v>
      </c>
      <c r="F437">
        <v>0</v>
      </c>
      <c r="G437">
        <v>0</v>
      </c>
      <c r="H437">
        <v>0</v>
      </c>
      <c r="I437" t="s">
        <v>32</v>
      </c>
      <c r="J437">
        <v>0</v>
      </c>
      <c r="M437" t="s">
        <v>46</v>
      </c>
      <c r="N437">
        <v>91</v>
      </c>
      <c r="R437" t="s">
        <v>49</v>
      </c>
      <c r="S437">
        <v>0</v>
      </c>
    </row>
    <row r="438" spans="1:19" x14ac:dyDescent="0.25">
      <c r="A438" t="s">
        <v>54</v>
      </c>
      <c r="B438">
        <v>1</v>
      </c>
      <c r="C438" t="s">
        <v>30</v>
      </c>
      <c r="D438" t="s">
        <v>55</v>
      </c>
      <c r="E438" s="2">
        <v>0</v>
      </c>
      <c r="F438">
        <v>0</v>
      </c>
      <c r="G438">
        <v>0</v>
      </c>
      <c r="H438">
        <v>0</v>
      </c>
      <c r="I438" t="s">
        <v>32</v>
      </c>
      <c r="J438">
        <v>0</v>
      </c>
      <c r="M438" t="s">
        <v>46</v>
      </c>
      <c r="N438">
        <v>72</v>
      </c>
      <c r="R438" t="s">
        <v>49</v>
      </c>
      <c r="S438">
        <v>0</v>
      </c>
    </row>
    <row r="439" spans="1:19" x14ac:dyDescent="0.25">
      <c r="A439" t="s">
        <v>54</v>
      </c>
      <c r="B439">
        <v>1</v>
      </c>
      <c r="C439" t="s">
        <v>30</v>
      </c>
      <c r="D439" t="s">
        <v>55</v>
      </c>
      <c r="E439" s="2">
        <v>0</v>
      </c>
      <c r="F439">
        <v>0</v>
      </c>
      <c r="G439">
        <v>0</v>
      </c>
      <c r="H439">
        <v>0</v>
      </c>
      <c r="I439" t="s">
        <v>32</v>
      </c>
      <c r="J439">
        <v>0</v>
      </c>
      <c r="M439" t="s">
        <v>46</v>
      </c>
      <c r="N439">
        <v>67</v>
      </c>
      <c r="R439" t="s">
        <v>49</v>
      </c>
      <c r="S439">
        <v>0</v>
      </c>
    </row>
    <row r="440" spans="1:19" x14ac:dyDescent="0.25">
      <c r="A440" t="s">
        <v>54</v>
      </c>
      <c r="B440">
        <v>1</v>
      </c>
      <c r="C440" t="s">
        <v>30</v>
      </c>
      <c r="D440" t="s">
        <v>55</v>
      </c>
      <c r="E440" s="2">
        <v>0</v>
      </c>
      <c r="F440">
        <v>0</v>
      </c>
      <c r="G440">
        <v>0</v>
      </c>
      <c r="H440">
        <v>0</v>
      </c>
      <c r="I440" t="s">
        <v>32</v>
      </c>
      <c r="J440">
        <v>0</v>
      </c>
      <c r="M440" t="s">
        <v>46</v>
      </c>
      <c r="N440">
        <v>0</v>
      </c>
      <c r="R440" t="s">
        <v>49</v>
      </c>
      <c r="S440">
        <v>0</v>
      </c>
    </row>
    <row r="441" spans="1:19" x14ac:dyDescent="0.25">
      <c r="A441" t="s">
        <v>54</v>
      </c>
      <c r="B441">
        <v>1</v>
      </c>
      <c r="C441" t="s">
        <v>30</v>
      </c>
      <c r="D441" t="s">
        <v>55</v>
      </c>
      <c r="E441" s="2">
        <v>0</v>
      </c>
      <c r="F441">
        <v>0</v>
      </c>
      <c r="G441">
        <v>0</v>
      </c>
      <c r="H441">
        <v>0</v>
      </c>
      <c r="I441" t="s">
        <v>32</v>
      </c>
      <c r="J441">
        <v>0</v>
      </c>
      <c r="M441" t="s">
        <v>46</v>
      </c>
      <c r="N441">
        <v>34</v>
      </c>
      <c r="R441" t="s">
        <v>49</v>
      </c>
      <c r="S441">
        <v>0</v>
      </c>
    </row>
    <row r="442" spans="1:19" x14ac:dyDescent="0.25">
      <c r="A442" t="s">
        <v>54</v>
      </c>
      <c r="B442">
        <v>1</v>
      </c>
      <c r="C442" t="s">
        <v>30</v>
      </c>
      <c r="D442" t="s">
        <v>55</v>
      </c>
      <c r="E442" s="2">
        <v>0</v>
      </c>
      <c r="F442">
        <v>0</v>
      </c>
      <c r="G442">
        <v>0</v>
      </c>
      <c r="H442">
        <v>0</v>
      </c>
      <c r="I442" t="s">
        <v>32</v>
      </c>
      <c r="J442">
        <v>0</v>
      </c>
      <c r="M442" t="s">
        <v>46</v>
      </c>
      <c r="N442">
        <v>91</v>
      </c>
      <c r="R442" t="s">
        <v>49</v>
      </c>
      <c r="S442">
        <v>10</v>
      </c>
    </row>
    <row r="443" spans="1:19" x14ac:dyDescent="0.25">
      <c r="A443" t="s">
        <v>54</v>
      </c>
      <c r="B443">
        <v>1</v>
      </c>
      <c r="C443" t="s">
        <v>30</v>
      </c>
      <c r="D443" t="s">
        <v>55</v>
      </c>
      <c r="E443" s="2">
        <v>0</v>
      </c>
      <c r="F443">
        <v>0</v>
      </c>
      <c r="G443">
        <v>0</v>
      </c>
      <c r="H443">
        <v>0</v>
      </c>
      <c r="I443" t="s">
        <v>32</v>
      </c>
      <c r="J443">
        <v>0</v>
      </c>
      <c r="M443" t="s">
        <v>46</v>
      </c>
      <c r="N443">
        <v>87</v>
      </c>
      <c r="R443" t="s">
        <v>49</v>
      </c>
      <c r="S443">
        <v>101</v>
      </c>
    </row>
    <row r="444" spans="1:19" x14ac:dyDescent="0.25">
      <c r="A444" t="s">
        <v>54</v>
      </c>
      <c r="B444">
        <v>1</v>
      </c>
      <c r="C444" t="s">
        <v>30</v>
      </c>
      <c r="D444" t="s">
        <v>55</v>
      </c>
      <c r="E444" s="2">
        <v>0</v>
      </c>
      <c r="F444">
        <v>0</v>
      </c>
      <c r="G444">
        <v>0</v>
      </c>
      <c r="H444">
        <v>0</v>
      </c>
      <c r="I444" t="s">
        <v>32</v>
      </c>
      <c r="J444">
        <v>0</v>
      </c>
      <c r="M444" t="s">
        <v>46</v>
      </c>
      <c r="N444">
        <v>82</v>
      </c>
      <c r="R444" t="s">
        <v>49</v>
      </c>
      <c r="S444">
        <v>6</v>
      </c>
    </row>
    <row r="445" spans="1:19" x14ac:dyDescent="0.25">
      <c r="A445" t="s">
        <v>54</v>
      </c>
      <c r="B445">
        <v>1</v>
      </c>
      <c r="C445" t="s">
        <v>30</v>
      </c>
      <c r="D445" t="s">
        <v>55</v>
      </c>
      <c r="E445" s="2">
        <v>0</v>
      </c>
      <c r="F445">
        <v>0</v>
      </c>
      <c r="G445">
        <v>0</v>
      </c>
      <c r="H445">
        <v>0</v>
      </c>
      <c r="I445" t="s">
        <v>32</v>
      </c>
      <c r="J445">
        <v>0</v>
      </c>
      <c r="M445" t="s">
        <v>46</v>
      </c>
      <c r="N445">
        <v>15</v>
      </c>
      <c r="R445" t="s">
        <v>49</v>
      </c>
      <c r="S445">
        <v>8</v>
      </c>
    </row>
    <row r="446" spans="1:19" x14ac:dyDescent="0.25">
      <c r="A446" t="s">
        <v>54</v>
      </c>
      <c r="B446">
        <v>1</v>
      </c>
      <c r="C446" t="s">
        <v>30</v>
      </c>
      <c r="D446" t="s">
        <v>55</v>
      </c>
      <c r="E446" s="2">
        <v>0</v>
      </c>
      <c r="F446">
        <v>0</v>
      </c>
      <c r="G446">
        <v>0</v>
      </c>
      <c r="H446">
        <v>0</v>
      </c>
      <c r="I446" t="s">
        <v>32</v>
      </c>
      <c r="J446">
        <v>0</v>
      </c>
      <c r="M446" t="s">
        <v>46</v>
      </c>
      <c r="N446">
        <v>83</v>
      </c>
      <c r="R446" t="s">
        <v>49</v>
      </c>
      <c r="S446">
        <v>0</v>
      </c>
    </row>
    <row r="447" spans="1:19" x14ac:dyDescent="0.25">
      <c r="A447" t="s">
        <v>54</v>
      </c>
      <c r="B447">
        <v>1</v>
      </c>
      <c r="C447" t="s">
        <v>30</v>
      </c>
      <c r="D447" t="s">
        <v>55</v>
      </c>
      <c r="E447" s="2">
        <v>0</v>
      </c>
      <c r="F447">
        <v>0</v>
      </c>
      <c r="G447">
        <v>0</v>
      </c>
      <c r="H447">
        <v>0</v>
      </c>
      <c r="I447" t="s">
        <v>32</v>
      </c>
      <c r="J447">
        <v>0</v>
      </c>
      <c r="M447" t="s">
        <v>46</v>
      </c>
      <c r="N447">
        <v>56</v>
      </c>
      <c r="R447" t="s">
        <v>49</v>
      </c>
      <c r="S447">
        <v>135</v>
      </c>
    </row>
    <row r="448" spans="1:19" x14ac:dyDescent="0.25">
      <c r="A448" t="s">
        <v>54</v>
      </c>
      <c r="B448">
        <v>1</v>
      </c>
      <c r="C448" t="s">
        <v>30</v>
      </c>
      <c r="D448" t="s">
        <v>55</v>
      </c>
      <c r="E448" s="2">
        <v>0</v>
      </c>
      <c r="F448">
        <v>0</v>
      </c>
      <c r="G448">
        <v>0</v>
      </c>
      <c r="H448">
        <v>0</v>
      </c>
      <c r="I448" t="s">
        <v>32</v>
      </c>
      <c r="J448">
        <v>0</v>
      </c>
      <c r="M448" t="s">
        <v>46</v>
      </c>
      <c r="N448">
        <v>6</v>
      </c>
      <c r="R448" t="s">
        <v>49</v>
      </c>
      <c r="S448">
        <v>0</v>
      </c>
    </row>
    <row r="449" spans="1:19" x14ac:dyDescent="0.25">
      <c r="A449" t="s">
        <v>54</v>
      </c>
      <c r="B449">
        <v>1</v>
      </c>
      <c r="C449" t="s">
        <v>34</v>
      </c>
      <c r="D449" t="s">
        <v>56</v>
      </c>
      <c r="E449" s="2">
        <v>0</v>
      </c>
      <c r="F449">
        <v>0</v>
      </c>
      <c r="G449">
        <v>0</v>
      </c>
      <c r="H449">
        <v>0</v>
      </c>
      <c r="I449" t="s">
        <v>32</v>
      </c>
      <c r="J449">
        <v>0</v>
      </c>
      <c r="M449" t="s">
        <v>46</v>
      </c>
      <c r="N449">
        <v>12</v>
      </c>
      <c r="R449" t="s">
        <v>49</v>
      </c>
      <c r="S449">
        <v>102</v>
      </c>
    </row>
    <row r="450" spans="1:19" x14ac:dyDescent="0.25">
      <c r="A450" t="s">
        <v>54</v>
      </c>
      <c r="B450">
        <v>4</v>
      </c>
      <c r="C450" t="s">
        <v>30</v>
      </c>
      <c r="D450" t="s">
        <v>61</v>
      </c>
      <c r="E450" s="2">
        <v>0</v>
      </c>
      <c r="F450">
        <v>0</v>
      </c>
      <c r="G450">
        <v>0</v>
      </c>
      <c r="H450">
        <v>0</v>
      </c>
      <c r="I450" t="s">
        <v>32</v>
      </c>
      <c r="J450">
        <v>0</v>
      </c>
      <c r="M450" t="s">
        <v>46</v>
      </c>
      <c r="N450">
        <v>97</v>
      </c>
      <c r="R450" t="s">
        <v>49</v>
      </c>
      <c r="S450">
        <v>24</v>
      </c>
    </row>
    <row r="451" spans="1:19" x14ac:dyDescent="0.25">
      <c r="A451" t="s">
        <v>54</v>
      </c>
      <c r="B451">
        <v>4</v>
      </c>
      <c r="C451" t="s">
        <v>30</v>
      </c>
      <c r="D451" t="s">
        <v>61</v>
      </c>
      <c r="E451" s="2">
        <v>0</v>
      </c>
      <c r="F451">
        <v>0</v>
      </c>
      <c r="G451">
        <v>0</v>
      </c>
      <c r="H451">
        <v>0</v>
      </c>
      <c r="I451" t="s">
        <v>32</v>
      </c>
      <c r="J451">
        <v>0</v>
      </c>
      <c r="M451" t="s">
        <v>46</v>
      </c>
      <c r="N451">
        <v>70</v>
      </c>
      <c r="R451" t="s">
        <v>49</v>
      </c>
      <c r="S451">
        <v>0</v>
      </c>
    </row>
    <row r="452" spans="1:19" x14ac:dyDescent="0.25">
      <c r="A452" t="s">
        <v>54</v>
      </c>
      <c r="B452">
        <v>4</v>
      </c>
      <c r="C452" t="s">
        <v>30</v>
      </c>
      <c r="D452" t="s">
        <v>61</v>
      </c>
      <c r="E452" s="2">
        <v>0</v>
      </c>
      <c r="F452">
        <v>0</v>
      </c>
      <c r="G452">
        <v>0</v>
      </c>
      <c r="H452">
        <v>0</v>
      </c>
      <c r="I452" t="s">
        <v>32</v>
      </c>
      <c r="J452">
        <v>0</v>
      </c>
      <c r="M452" t="s">
        <v>46</v>
      </c>
      <c r="N452">
        <v>143</v>
      </c>
      <c r="R452" t="s">
        <v>49</v>
      </c>
      <c r="S452">
        <v>0</v>
      </c>
    </row>
    <row r="453" spans="1:19" x14ac:dyDescent="0.25">
      <c r="A453" t="s">
        <v>54</v>
      </c>
      <c r="B453">
        <v>4</v>
      </c>
      <c r="C453" t="s">
        <v>30</v>
      </c>
      <c r="D453" t="s">
        <v>61</v>
      </c>
      <c r="E453" s="2">
        <v>0</v>
      </c>
      <c r="F453">
        <v>0</v>
      </c>
      <c r="G453">
        <v>0</v>
      </c>
      <c r="H453">
        <v>0</v>
      </c>
      <c r="I453" t="s">
        <v>32</v>
      </c>
      <c r="J453">
        <v>0</v>
      </c>
      <c r="M453" t="s">
        <v>46</v>
      </c>
      <c r="N453">
        <v>103</v>
      </c>
      <c r="R453" t="s">
        <v>49</v>
      </c>
      <c r="S453">
        <v>190</v>
      </c>
    </row>
    <row r="454" spans="1:19" x14ac:dyDescent="0.25">
      <c r="A454" t="s">
        <v>54</v>
      </c>
      <c r="B454">
        <v>4</v>
      </c>
      <c r="C454" t="s">
        <v>30</v>
      </c>
      <c r="D454" t="s">
        <v>61</v>
      </c>
      <c r="E454" s="2">
        <v>0</v>
      </c>
      <c r="F454">
        <v>0</v>
      </c>
      <c r="G454">
        <v>0</v>
      </c>
      <c r="H454">
        <v>0</v>
      </c>
      <c r="I454" t="s">
        <v>32</v>
      </c>
      <c r="J454">
        <v>0</v>
      </c>
      <c r="M454" t="s">
        <v>46</v>
      </c>
      <c r="N454">
        <v>50</v>
      </c>
      <c r="R454" t="s">
        <v>49</v>
      </c>
      <c r="S454">
        <v>68</v>
      </c>
    </row>
    <row r="455" spans="1:19" x14ac:dyDescent="0.25">
      <c r="A455" t="s">
        <v>54</v>
      </c>
      <c r="B455">
        <v>4</v>
      </c>
      <c r="C455" t="s">
        <v>30</v>
      </c>
      <c r="D455" t="s">
        <v>61</v>
      </c>
      <c r="E455" s="2">
        <v>0</v>
      </c>
      <c r="F455">
        <v>0</v>
      </c>
      <c r="G455">
        <v>0</v>
      </c>
      <c r="H455">
        <v>0</v>
      </c>
      <c r="I455" t="s">
        <v>32</v>
      </c>
      <c r="J455">
        <v>0</v>
      </c>
      <c r="M455" t="s">
        <v>46</v>
      </c>
      <c r="N455">
        <v>9</v>
      </c>
      <c r="R455" t="s">
        <v>49</v>
      </c>
      <c r="S455">
        <v>0</v>
      </c>
    </row>
    <row r="456" spans="1:19" x14ac:dyDescent="0.25">
      <c r="A456" t="s">
        <v>54</v>
      </c>
      <c r="B456">
        <v>4</v>
      </c>
      <c r="C456" t="s">
        <v>30</v>
      </c>
      <c r="D456" t="s">
        <v>61</v>
      </c>
      <c r="E456" s="2">
        <v>0</v>
      </c>
      <c r="F456">
        <v>0</v>
      </c>
      <c r="G456">
        <v>0</v>
      </c>
      <c r="H456">
        <v>0</v>
      </c>
      <c r="I456" t="s">
        <v>32</v>
      </c>
      <c r="J456">
        <v>0</v>
      </c>
      <c r="M456" t="s">
        <v>46</v>
      </c>
      <c r="N456">
        <v>177</v>
      </c>
      <c r="R456" t="s">
        <v>49</v>
      </c>
      <c r="S456">
        <v>5</v>
      </c>
    </row>
    <row r="457" spans="1:19" x14ac:dyDescent="0.25">
      <c r="A457" t="s">
        <v>54</v>
      </c>
      <c r="B457">
        <v>4</v>
      </c>
      <c r="C457" t="s">
        <v>30</v>
      </c>
      <c r="D457" t="s">
        <v>61</v>
      </c>
      <c r="E457" s="2">
        <v>0</v>
      </c>
      <c r="F457">
        <v>0</v>
      </c>
      <c r="G457">
        <v>0</v>
      </c>
      <c r="H457">
        <v>0</v>
      </c>
      <c r="I457" t="s">
        <v>32</v>
      </c>
      <c r="J457">
        <v>0</v>
      </c>
      <c r="M457" t="s">
        <v>46</v>
      </c>
      <c r="N457">
        <v>99</v>
      </c>
      <c r="R457" t="s">
        <v>49</v>
      </c>
      <c r="S457">
        <v>0</v>
      </c>
    </row>
    <row r="458" spans="1:19" x14ac:dyDescent="0.25">
      <c r="A458" t="s">
        <v>54</v>
      </c>
      <c r="B458">
        <v>4</v>
      </c>
      <c r="C458" t="s">
        <v>30</v>
      </c>
      <c r="D458" t="s">
        <v>61</v>
      </c>
      <c r="E458" s="2">
        <v>0</v>
      </c>
      <c r="F458">
        <v>0</v>
      </c>
      <c r="G458">
        <v>0</v>
      </c>
      <c r="H458">
        <v>0</v>
      </c>
      <c r="I458" t="s">
        <v>32</v>
      </c>
      <c r="J458">
        <v>0</v>
      </c>
      <c r="M458" t="s">
        <v>46</v>
      </c>
      <c r="N458">
        <v>18</v>
      </c>
      <c r="R458" t="s">
        <v>49</v>
      </c>
      <c r="S458">
        <v>0</v>
      </c>
    </row>
    <row r="459" spans="1:19" x14ac:dyDescent="0.25">
      <c r="A459" t="s">
        <v>54</v>
      </c>
      <c r="B459">
        <v>4</v>
      </c>
      <c r="C459" t="s">
        <v>30</v>
      </c>
      <c r="D459" t="s">
        <v>61</v>
      </c>
      <c r="E459" s="2">
        <v>0</v>
      </c>
      <c r="F459">
        <v>0</v>
      </c>
      <c r="G459">
        <v>0</v>
      </c>
      <c r="H459">
        <v>0</v>
      </c>
      <c r="I459" t="s">
        <v>32</v>
      </c>
      <c r="J459">
        <v>0</v>
      </c>
      <c r="M459" t="s">
        <v>46</v>
      </c>
      <c r="N459">
        <v>0</v>
      </c>
      <c r="R459" t="s">
        <v>49</v>
      </c>
      <c r="S459">
        <v>6</v>
      </c>
    </row>
    <row r="460" spans="1:19" x14ac:dyDescent="0.25">
      <c r="A460" t="s">
        <v>54</v>
      </c>
      <c r="B460">
        <v>4</v>
      </c>
      <c r="C460" t="s">
        <v>30</v>
      </c>
      <c r="D460" t="s">
        <v>61</v>
      </c>
      <c r="E460" s="2">
        <v>0</v>
      </c>
      <c r="F460">
        <v>0</v>
      </c>
      <c r="G460">
        <v>0</v>
      </c>
      <c r="H460">
        <v>0</v>
      </c>
      <c r="I460" t="s">
        <v>32</v>
      </c>
      <c r="J460">
        <v>0</v>
      </c>
      <c r="M460" t="s">
        <v>46</v>
      </c>
      <c r="N460">
        <v>0</v>
      </c>
      <c r="R460" t="s">
        <v>49</v>
      </c>
      <c r="S460">
        <v>0</v>
      </c>
    </row>
    <row r="461" spans="1:19" x14ac:dyDescent="0.25">
      <c r="A461" t="s">
        <v>54</v>
      </c>
      <c r="B461">
        <v>4</v>
      </c>
      <c r="C461" t="s">
        <v>30</v>
      </c>
      <c r="D461" t="s">
        <v>61</v>
      </c>
      <c r="E461" s="2">
        <v>0</v>
      </c>
      <c r="F461">
        <v>0</v>
      </c>
      <c r="G461">
        <v>0</v>
      </c>
      <c r="H461">
        <v>0</v>
      </c>
      <c r="I461" t="s">
        <v>32</v>
      </c>
      <c r="J461">
        <v>0</v>
      </c>
      <c r="M461" t="s">
        <v>46</v>
      </c>
      <c r="N461">
        <v>0</v>
      </c>
      <c r="R461" t="s">
        <v>49</v>
      </c>
      <c r="S461">
        <v>4</v>
      </c>
    </row>
    <row r="462" spans="1:19" x14ac:dyDescent="0.25">
      <c r="A462" t="s">
        <v>54</v>
      </c>
      <c r="B462">
        <v>4</v>
      </c>
      <c r="C462" t="s">
        <v>30</v>
      </c>
      <c r="D462" t="s">
        <v>61</v>
      </c>
      <c r="E462" s="2">
        <v>0</v>
      </c>
      <c r="F462">
        <v>0</v>
      </c>
      <c r="G462">
        <v>0</v>
      </c>
      <c r="H462">
        <v>0</v>
      </c>
      <c r="I462" t="s">
        <v>32</v>
      </c>
      <c r="J462">
        <v>0</v>
      </c>
      <c r="M462" t="s">
        <v>46</v>
      </c>
      <c r="N462">
        <v>6</v>
      </c>
      <c r="R462" t="s">
        <v>49</v>
      </c>
      <c r="S462">
        <v>4</v>
      </c>
    </row>
    <row r="463" spans="1:19" x14ac:dyDescent="0.25">
      <c r="A463" t="s">
        <v>54</v>
      </c>
      <c r="B463">
        <v>4</v>
      </c>
      <c r="C463" t="s">
        <v>30</v>
      </c>
      <c r="D463" t="s">
        <v>61</v>
      </c>
      <c r="E463" s="2">
        <v>0</v>
      </c>
      <c r="F463">
        <v>0</v>
      </c>
      <c r="G463">
        <v>0</v>
      </c>
      <c r="H463">
        <v>0</v>
      </c>
      <c r="I463" t="s">
        <v>32</v>
      </c>
      <c r="J463">
        <v>0</v>
      </c>
      <c r="M463" t="s">
        <v>46</v>
      </c>
      <c r="N463">
        <v>8</v>
      </c>
      <c r="R463" t="s">
        <v>49</v>
      </c>
      <c r="S463">
        <v>11</v>
      </c>
    </row>
    <row r="464" spans="1:19" x14ac:dyDescent="0.25">
      <c r="A464" t="s">
        <v>54</v>
      </c>
      <c r="B464">
        <v>4</v>
      </c>
      <c r="C464" t="s">
        <v>30</v>
      </c>
      <c r="D464" t="s">
        <v>61</v>
      </c>
      <c r="E464" s="2">
        <v>0</v>
      </c>
      <c r="F464">
        <v>0</v>
      </c>
      <c r="G464">
        <v>0</v>
      </c>
      <c r="H464">
        <v>0</v>
      </c>
      <c r="I464" t="s">
        <v>32</v>
      </c>
      <c r="J464">
        <v>0</v>
      </c>
      <c r="M464" t="s">
        <v>46</v>
      </c>
      <c r="N464">
        <v>7</v>
      </c>
      <c r="R464" t="s">
        <v>51</v>
      </c>
      <c r="S464">
        <v>0</v>
      </c>
    </row>
    <row r="465" spans="1:19" x14ac:dyDescent="0.25">
      <c r="A465" t="s">
        <v>54</v>
      </c>
      <c r="B465">
        <v>4</v>
      </c>
      <c r="C465" t="s">
        <v>30</v>
      </c>
      <c r="D465" t="s">
        <v>61</v>
      </c>
      <c r="E465" s="2">
        <v>0</v>
      </c>
      <c r="F465">
        <v>0</v>
      </c>
      <c r="G465">
        <v>0</v>
      </c>
      <c r="H465">
        <v>0</v>
      </c>
      <c r="I465" t="s">
        <v>32</v>
      </c>
      <c r="J465">
        <v>0</v>
      </c>
      <c r="M465" t="s">
        <v>46</v>
      </c>
      <c r="N465">
        <v>5</v>
      </c>
      <c r="R465" t="s">
        <v>51</v>
      </c>
      <c r="S465">
        <v>0</v>
      </c>
    </row>
    <row r="466" spans="1:19" x14ac:dyDescent="0.25">
      <c r="A466" t="s">
        <v>54</v>
      </c>
      <c r="B466">
        <v>4</v>
      </c>
      <c r="C466" t="s">
        <v>30</v>
      </c>
      <c r="D466" t="s">
        <v>61</v>
      </c>
      <c r="E466" s="2">
        <v>0</v>
      </c>
      <c r="F466">
        <v>0</v>
      </c>
      <c r="G466">
        <v>0</v>
      </c>
      <c r="H466">
        <v>0</v>
      </c>
      <c r="I466" t="s">
        <v>32</v>
      </c>
      <c r="J466">
        <v>0</v>
      </c>
      <c r="M466" t="s">
        <v>46</v>
      </c>
      <c r="N466">
        <v>7</v>
      </c>
      <c r="R466" t="s">
        <v>51</v>
      </c>
      <c r="S466">
        <v>0</v>
      </c>
    </row>
    <row r="467" spans="1:19" x14ac:dyDescent="0.25">
      <c r="A467" t="s">
        <v>54</v>
      </c>
      <c r="B467">
        <v>4</v>
      </c>
      <c r="C467" t="s">
        <v>30</v>
      </c>
      <c r="D467" t="s">
        <v>61</v>
      </c>
      <c r="E467" s="2">
        <v>0</v>
      </c>
      <c r="F467">
        <v>0</v>
      </c>
      <c r="G467">
        <v>0</v>
      </c>
      <c r="H467">
        <v>0</v>
      </c>
      <c r="I467" t="s">
        <v>32</v>
      </c>
      <c r="J467">
        <v>0</v>
      </c>
      <c r="M467" t="s">
        <v>46</v>
      </c>
      <c r="N467">
        <v>47</v>
      </c>
      <c r="R467" t="s">
        <v>51</v>
      </c>
      <c r="S467">
        <v>0</v>
      </c>
    </row>
    <row r="468" spans="1:19" x14ac:dyDescent="0.25">
      <c r="A468" t="s">
        <v>54</v>
      </c>
      <c r="B468">
        <v>4</v>
      </c>
      <c r="C468" t="s">
        <v>30</v>
      </c>
      <c r="D468" t="s">
        <v>61</v>
      </c>
      <c r="E468" s="2">
        <v>0</v>
      </c>
      <c r="F468">
        <v>0</v>
      </c>
      <c r="G468">
        <v>0</v>
      </c>
      <c r="H468">
        <v>0</v>
      </c>
      <c r="I468" t="s">
        <v>32</v>
      </c>
      <c r="J468">
        <v>0</v>
      </c>
      <c r="M468" t="s">
        <v>46</v>
      </c>
      <c r="N468">
        <v>4</v>
      </c>
      <c r="R468" t="s">
        <v>51</v>
      </c>
      <c r="S468">
        <v>0</v>
      </c>
    </row>
    <row r="469" spans="1:19" x14ac:dyDescent="0.25">
      <c r="A469" t="s">
        <v>54</v>
      </c>
      <c r="B469">
        <v>4</v>
      </c>
      <c r="C469" t="s">
        <v>30</v>
      </c>
      <c r="D469" t="s">
        <v>61</v>
      </c>
      <c r="E469" s="2">
        <v>0</v>
      </c>
      <c r="F469">
        <v>0</v>
      </c>
      <c r="G469">
        <v>0</v>
      </c>
      <c r="H469">
        <v>0</v>
      </c>
      <c r="I469" t="s">
        <v>32</v>
      </c>
      <c r="J469">
        <v>0</v>
      </c>
      <c r="M469" t="s">
        <v>46</v>
      </c>
      <c r="N469">
        <v>5</v>
      </c>
      <c r="R469" t="s">
        <v>51</v>
      </c>
      <c r="S469">
        <v>86</v>
      </c>
    </row>
    <row r="470" spans="1:19" x14ac:dyDescent="0.25">
      <c r="A470" t="s">
        <v>54</v>
      </c>
      <c r="B470">
        <v>4</v>
      </c>
      <c r="C470" t="s">
        <v>30</v>
      </c>
      <c r="D470" t="s">
        <v>61</v>
      </c>
      <c r="E470" s="2">
        <v>0</v>
      </c>
      <c r="F470">
        <v>0</v>
      </c>
      <c r="G470">
        <v>0</v>
      </c>
      <c r="H470">
        <v>0</v>
      </c>
      <c r="I470" t="s">
        <v>32</v>
      </c>
      <c r="J470">
        <v>0</v>
      </c>
      <c r="M470" t="s">
        <v>46</v>
      </c>
      <c r="N470">
        <v>0</v>
      </c>
      <c r="R470" t="s">
        <v>51</v>
      </c>
      <c r="S470">
        <v>75</v>
      </c>
    </row>
    <row r="471" spans="1:19" x14ac:dyDescent="0.25">
      <c r="A471" t="s">
        <v>54</v>
      </c>
      <c r="B471">
        <v>4</v>
      </c>
      <c r="C471" t="s">
        <v>30</v>
      </c>
      <c r="D471" t="s">
        <v>61</v>
      </c>
      <c r="E471" s="2">
        <v>0</v>
      </c>
      <c r="F471">
        <v>0</v>
      </c>
      <c r="G471">
        <v>0</v>
      </c>
      <c r="H471">
        <v>0</v>
      </c>
      <c r="I471" t="s">
        <v>32</v>
      </c>
      <c r="J471">
        <v>0</v>
      </c>
      <c r="M471" t="s">
        <v>46</v>
      </c>
      <c r="N471">
        <v>10</v>
      </c>
      <c r="R471" t="s">
        <v>51</v>
      </c>
      <c r="S471">
        <v>0</v>
      </c>
    </row>
    <row r="472" spans="1:19" x14ac:dyDescent="0.25">
      <c r="A472" t="s">
        <v>54</v>
      </c>
      <c r="B472">
        <v>4</v>
      </c>
      <c r="C472" t="s">
        <v>30</v>
      </c>
      <c r="D472" t="s">
        <v>61</v>
      </c>
      <c r="E472" s="2">
        <v>0</v>
      </c>
      <c r="F472">
        <v>0</v>
      </c>
      <c r="G472">
        <v>0</v>
      </c>
      <c r="H472">
        <v>0</v>
      </c>
      <c r="I472" t="s">
        <v>32</v>
      </c>
      <c r="J472">
        <v>0</v>
      </c>
      <c r="M472" t="s">
        <v>46</v>
      </c>
      <c r="N472">
        <v>13</v>
      </c>
      <c r="R472" t="s">
        <v>51</v>
      </c>
      <c r="S472">
        <v>0</v>
      </c>
    </row>
    <row r="473" spans="1:19" x14ac:dyDescent="0.25">
      <c r="A473" t="s">
        <v>54</v>
      </c>
      <c r="B473">
        <v>4</v>
      </c>
      <c r="C473" t="s">
        <v>30</v>
      </c>
      <c r="D473" t="s">
        <v>61</v>
      </c>
      <c r="E473" s="2">
        <v>0</v>
      </c>
      <c r="F473">
        <v>0</v>
      </c>
      <c r="G473">
        <v>0</v>
      </c>
      <c r="H473">
        <v>0</v>
      </c>
      <c r="I473" t="s">
        <v>32</v>
      </c>
      <c r="J473">
        <v>0</v>
      </c>
      <c r="M473" t="s">
        <v>46</v>
      </c>
      <c r="N473">
        <v>70</v>
      </c>
      <c r="R473" t="s">
        <v>51</v>
      </c>
      <c r="S473">
        <v>0</v>
      </c>
    </row>
    <row r="474" spans="1:19" x14ac:dyDescent="0.25">
      <c r="A474" t="s">
        <v>54</v>
      </c>
      <c r="B474">
        <v>4</v>
      </c>
      <c r="C474" t="s">
        <v>30</v>
      </c>
      <c r="D474" t="s">
        <v>61</v>
      </c>
      <c r="E474" s="2">
        <v>0</v>
      </c>
      <c r="F474">
        <v>0</v>
      </c>
      <c r="G474">
        <v>0</v>
      </c>
      <c r="H474">
        <v>0</v>
      </c>
      <c r="I474" t="s">
        <v>32</v>
      </c>
      <c r="J474">
        <v>0</v>
      </c>
      <c r="M474" t="s">
        <v>46</v>
      </c>
      <c r="N474">
        <v>94</v>
      </c>
      <c r="R474" t="s">
        <v>51</v>
      </c>
      <c r="S474">
        <v>42</v>
      </c>
    </row>
    <row r="475" spans="1:19" x14ac:dyDescent="0.25">
      <c r="A475" t="s">
        <v>54</v>
      </c>
      <c r="B475">
        <v>4</v>
      </c>
      <c r="C475" t="s">
        <v>30</v>
      </c>
      <c r="D475" t="s">
        <v>61</v>
      </c>
      <c r="E475" s="2">
        <v>0</v>
      </c>
      <c r="F475">
        <v>0</v>
      </c>
      <c r="G475">
        <v>0</v>
      </c>
      <c r="H475">
        <v>0</v>
      </c>
      <c r="I475" t="s">
        <v>32</v>
      </c>
      <c r="J475">
        <v>0</v>
      </c>
      <c r="M475" t="s">
        <v>46</v>
      </c>
      <c r="N475">
        <v>238</v>
      </c>
      <c r="R475" t="s">
        <v>51</v>
      </c>
      <c r="S475">
        <v>8</v>
      </c>
    </row>
    <row r="476" spans="1:19" x14ac:dyDescent="0.25">
      <c r="A476" t="s">
        <v>54</v>
      </c>
      <c r="B476">
        <v>4</v>
      </c>
      <c r="C476" t="s">
        <v>30</v>
      </c>
      <c r="D476" t="s">
        <v>61</v>
      </c>
      <c r="E476" s="2">
        <v>0</v>
      </c>
      <c r="F476">
        <v>0</v>
      </c>
      <c r="G476">
        <v>0</v>
      </c>
      <c r="H476">
        <v>0</v>
      </c>
      <c r="I476" t="s">
        <v>32</v>
      </c>
      <c r="J476">
        <v>0</v>
      </c>
      <c r="M476" t="s">
        <v>46</v>
      </c>
      <c r="N476">
        <v>31</v>
      </c>
      <c r="R476" t="s">
        <v>51</v>
      </c>
      <c r="S476">
        <v>3</v>
      </c>
    </row>
    <row r="477" spans="1:19" x14ac:dyDescent="0.25">
      <c r="A477" t="s">
        <v>54</v>
      </c>
      <c r="B477">
        <v>4</v>
      </c>
      <c r="C477" t="s">
        <v>30</v>
      </c>
      <c r="D477" t="s">
        <v>61</v>
      </c>
      <c r="E477" s="2">
        <v>0</v>
      </c>
      <c r="F477">
        <v>0</v>
      </c>
      <c r="G477">
        <v>0</v>
      </c>
      <c r="H477">
        <v>0</v>
      </c>
      <c r="I477" t="s">
        <v>32</v>
      </c>
      <c r="J477">
        <v>0</v>
      </c>
      <c r="M477" t="s">
        <v>46</v>
      </c>
      <c r="N477">
        <v>8</v>
      </c>
      <c r="R477" t="s">
        <v>51</v>
      </c>
      <c r="S477">
        <v>0</v>
      </c>
    </row>
    <row r="478" spans="1:19" x14ac:dyDescent="0.25">
      <c r="A478" t="s">
        <v>54</v>
      </c>
      <c r="B478">
        <v>4</v>
      </c>
      <c r="C478" t="s">
        <v>34</v>
      </c>
      <c r="D478" t="s">
        <v>62</v>
      </c>
      <c r="E478" s="2">
        <v>0</v>
      </c>
      <c r="F478">
        <v>0</v>
      </c>
      <c r="G478">
        <v>0</v>
      </c>
      <c r="H478">
        <v>0</v>
      </c>
      <c r="I478" t="s">
        <v>32</v>
      </c>
      <c r="J478">
        <v>0</v>
      </c>
      <c r="M478" t="s">
        <v>46</v>
      </c>
      <c r="N478">
        <v>87</v>
      </c>
      <c r="R478" t="s">
        <v>51</v>
      </c>
      <c r="S478">
        <v>17</v>
      </c>
    </row>
    <row r="479" spans="1:19" x14ac:dyDescent="0.25">
      <c r="A479" t="s">
        <v>54</v>
      </c>
      <c r="B479">
        <v>4</v>
      </c>
      <c r="C479" t="s">
        <v>34</v>
      </c>
      <c r="D479" t="s">
        <v>62</v>
      </c>
      <c r="E479" s="2">
        <v>0</v>
      </c>
      <c r="F479">
        <v>0</v>
      </c>
      <c r="G479">
        <v>0</v>
      </c>
      <c r="H479">
        <v>0</v>
      </c>
      <c r="I479" t="s">
        <v>32</v>
      </c>
      <c r="J479">
        <v>0</v>
      </c>
      <c r="M479" t="s">
        <v>46</v>
      </c>
      <c r="N479">
        <v>4</v>
      </c>
      <c r="R479" t="s">
        <v>51</v>
      </c>
      <c r="S479">
        <v>0</v>
      </c>
    </row>
    <row r="480" spans="1:19" x14ac:dyDescent="0.25">
      <c r="A480" t="s">
        <v>54</v>
      </c>
      <c r="B480">
        <v>4</v>
      </c>
      <c r="C480" t="s">
        <v>34</v>
      </c>
      <c r="D480" t="s">
        <v>62</v>
      </c>
      <c r="E480" s="2">
        <v>0</v>
      </c>
      <c r="F480">
        <v>0</v>
      </c>
      <c r="G480">
        <v>0</v>
      </c>
      <c r="H480">
        <v>0</v>
      </c>
      <c r="I480" t="s">
        <v>32</v>
      </c>
      <c r="J480">
        <v>0</v>
      </c>
      <c r="M480" t="s">
        <v>46</v>
      </c>
      <c r="N480">
        <v>0</v>
      </c>
      <c r="R480" t="s">
        <v>51</v>
      </c>
      <c r="S480">
        <v>7</v>
      </c>
    </row>
    <row r="481" spans="1:19" x14ac:dyDescent="0.25">
      <c r="A481" t="s">
        <v>54</v>
      </c>
      <c r="B481">
        <v>4</v>
      </c>
      <c r="C481" t="s">
        <v>34</v>
      </c>
      <c r="D481" t="s">
        <v>62</v>
      </c>
      <c r="E481" s="2">
        <v>0</v>
      </c>
      <c r="F481">
        <v>0</v>
      </c>
      <c r="G481">
        <v>0</v>
      </c>
      <c r="H481">
        <v>0</v>
      </c>
      <c r="I481" t="s">
        <v>32</v>
      </c>
      <c r="J481">
        <v>0</v>
      </c>
      <c r="M481" t="s">
        <v>46</v>
      </c>
      <c r="N481">
        <v>0</v>
      </c>
      <c r="R481" t="s">
        <v>51</v>
      </c>
      <c r="S481">
        <v>64</v>
      </c>
    </row>
    <row r="482" spans="1:19" x14ac:dyDescent="0.25">
      <c r="A482" t="s">
        <v>54</v>
      </c>
      <c r="B482">
        <v>4</v>
      </c>
      <c r="C482" t="s">
        <v>34</v>
      </c>
      <c r="D482" t="s">
        <v>62</v>
      </c>
      <c r="E482" s="2">
        <v>0</v>
      </c>
      <c r="F482">
        <v>0</v>
      </c>
      <c r="G482">
        <v>0</v>
      </c>
      <c r="H482">
        <v>0</v>
      </c>
      <c r="I482" t="s">
        <v>32</v>
      </c>
      <c r="J482">
        <v>0</v>
      </c>
      <c r="M482" t="s">
        <v>46</v>
      </c>
      <c r="N482">
        <v>0</v>
      </c>
      <c r="R482" t="s">
        <v>51</v>
      </c>
      <c r="S482">
        <v>95</v>
      </c>
    </row>
    <row r="483" spans="1:19" x14ac:dyDescent="0.25">
      <c r="A483" t="s">
        <v>54</v>
      </c>
      <c r="B483">
        <v>4</v>
      </c>
      <c r="C483" t="s">
        <v>34</v>
      </c>
      <c r="D483" t="s">
        <v>62</v>
      </c>
      <c r="E483" s="2">
        <v>0</v>
      </c>
      <c r="F483">
        <v>0</v>
      </c>
      <c r="G483">
        <v>0</v>
      </c>
      <c r="H483">
        <v>0</v>
      </c>
      <c r="I483" t="s">
        <v>32</v>
      </c>
      <c r="J483">
        <v>0</v>
      </c>
      <c r="M483" t="s">
        <v>46</v>
      </c>
      <c r="N483">
        <v>0</v>
      </c>
      <c r="R483" t="s">
        <v>51</v>
      </c>
      <c r="S483">
        <v>0</v>
      </c>
    </row>
    <row r="484" spans="1:19" x14ac:dyDescent="0.25">
      <c r="A484" t="s">
        <v>54</v>
      </c>
      <c r="B484">
        <v>4</v>
      </c>
      <c r="C484" t="s">
        <v>34</v>
      </c>
      <c r="D484" t="s">
        <v>62</v>
      </c>
      <c r="E484" s="2">
        <v>0</v>
      </c>
      <c r="F484">
        <v>0</v>
      </c>
      <c r="G484">
        <v>0</v>
      </c>
      <c r="H484">
        <v>0</v>
      </c>
      <c r="I484" t="s">
        <v>32</v>
      </c>
      <c r="J484">
        <v>0</v>
      </c>
      <c r="M484" t="s">
        <v>46</v>
      </c>
      <c r="N484">
        <v>0</v>
      </c>
      <c r="R484" t="s">
        <v>51</v>
      </c>
      <c r="S484">
        <v>0</v>
      </c>
    </row>
    <row r="485" spans="1:19" x14ac:dyDescent="0.25">
      <c r="A485" t="s">
        <v>54</v>
      </c>
      <c r="B485">
        <v>4</v>
      </c>
      <c r="C485" t="s">
        <v>34</v>
      </c>
      <c r="D485" t="s">
        <v>62</v>
      </c>
      <c r="E485" s="2">
        <v>0</v>
      </c>
      <c r="F485">
        <v>0</v>
      </c>
      <c r="G485">
        <v>0</v>
      </c>
      <c r="H485">
        <v>0</v>
      </c>
      <c r="I485" t="s">
        <v>32</v>
      </c>
      <c r="J485">
        <v>0</v>
      </c>
      <c r="M485" t="s">
        <v>46</v>
      </c>
      <c r="N485">
        <v>3</v>
      </c>
      <c r="R485" t="s">
        <v>51</v>
      </c>
      <c r="S485">
        <v>33</v>
      </c>
    </row>
    <row r="486" spans="1:19" x14ac:dyDescent="0.25">
      <c r="A486" t="s">
        <v>54</v>
      </c>
      <c r="B486">
        <v>4</v>
      </c>
      <c r="C486" t="s">
        <v>34</v>
      </c>
      <c r="D486" t="s">
        <v>62</v>
      </c>
      <c r="E486" s="2">
        <v>0</v>
      </c>
      <c r="F486">
        <v>0</v>
      </c>
      <c r="G486">
        <v>0</v>
      </c>
      <c r="H486">
        <v>0</v>
      </c>
      <c r="I486" t="s">
        <v>32</v>
      </c>
      <c r="J486">
        <v>0</v>
      </c>
      <c r="M486" t="s">
        <v>46</v>
      </c>
      <c r="N486">
        <v>0</v>
      </c>
      <c r="R486" t="s">
        <v>51</v>
      </c>
      <c r="S486">
        <v>178</v>
      </c>
    </row>
    <row r="487" spans="1:19" x14ac:dyDescent="0.25">
      <c r="A487" t="s">
        <v>54</v>
      </c>
      <c r="B487">
        <v>4</v>
      </c>
      <c r="C487" t="s">
        <v>34</v>
      </c>
      <c r="D487" t="s">
        <v>62</v>
      </c>
      <c r="E487" s="2">
        <v>0</v>
      </c>
      <c r="F487">
        <v>0</v>
      </c>
      <c r="G487">
        <v>0</v>
      </c>
      <c r="H487">
        <v>0</v>
      </c>
      <c r="I487" t="s">
        <v>32</v>
      </c>
      <c r="J487">
        <v>0</v>
      </c>
      <c r="M487" t="s">
        <v>46</v>
      </c>
      <c r="N487">
        <v>0</v>
      </c>
      <c r="R487" t="s">
        <v>51</v>
      </c>
      <c r="S487">
        <v>0</v>
      </c>
    </row>
    <row r="488" spans="1:19" x14ac:dyDescent="0.25">
      <c r="A488" t="s">
        <v>63</v>
      </c>
      <c r="B488">
        <v>5</v>
      </c>
      <c r="C488" t="s">
        <v>30</v>
      </c>
      <c r="D488" t="s">
        <v>64</v>
      </c>
      <c r="E488" s="2">
        <v>0</v>
      </c>
      <c r="F488">
        <v>0</v>
      </c>
      <c r="G488">
        <v>0</v>
      </c>
      <c r="H488">
        <v>0</v>
      </c>
      <c r="I488" t="s">
        <v>32</v>
      </c>
      <c r="J488">
        <v>0</v>
      </c>
      <c r="M488" t="s">
        <v>46</v>
      </c>
      <c r="N488">
        <v>0</v>
      </c>
      <c r="R488" t="s">
        <v>51</v>
      </c>
      <c r="S488">
        <v>113</v>
      </c>
    </row>
    <row r="489" spans="1:19" x14ac:dyDescent="0.25">
      <c r="A489" t="s">
        <v>63</v>
      </c>
      <c r="B489">
        <v>5</v>
      </c>
      <c r="C489" t="s">
        <v>30</v>
      </c>
      <c r="D489" t="s">
        <v>64</v>
      </c>
      <c r="E489" s="2">
        <v>0</v>
      </c>
      <c r="F489">
        <v>0</v>
      </c>
      <c r="G489">
        <v>0</v>
      </c>
      <c r="H489">
        <v>0</v>
      </c>
      <c r="I489" t="s">
        <v>32</v>
      </c>
      <c r="J489">
        <v>0</v>
      </c>
      <c r="M489" t="s">
        <v>46</v>
      </c>
      <c r="N489">
        <v>6</v>
      </c>
      <c r="R489" t="s">
        <v>51</v>
      </c>
      <c r="S489">
        <v>0</v>
      </c>
    </row>
    <row r="490" spans="1:19" x14ac:dyDescent="0.25">
      <c r="A490" t="s">
        <v>63</v>
      </c>
      <c r="B490">
        <v>5</v>
      </c>
      <c r="C490" t="s">
        <v>30</v>
      </c>
      <c r="D490" t="s">
        <v>64</v>
      </c>
      <c r="E490" s="2">
        <v>0</v>
      </c>
      <c r="F490">
        <v>0</v>
      </c>
      <c r="G490">
        <v>0</v>
      </c>
      <c r="H490">
        <v>0</v>
      </c>
      <c r="I490" t="s">
        <v>32</v>
      </c>
      <c r="J490">
        <v>0</v>
      </c>
      <c r="M490" t="s">
        <v>46</v>
      </c>
      <c r="N490">
        <v>6</v>
      </c>
      <c r="R490" t="s">
        <v>51</v>
      </c>
      <c r="S490">
        <v>0</v>
      </c>
    </row>
    <row r="491" spans="1:19" x14ac:dyDescent="0.25">
      <c r="A491" t="s">
        <v>63</v>
      </c>
      <c r="B491">
        <v>5</v>
      </c>
      <c r="C491" t="s">
        <v>30</v>
      </c>
      <c r="D491" t="s">
        <v>64</v>
      </c>
      <c r="E491" s="2">
        <v>0</v>
      </c>
      <c r="F491">
        <v>0</v>
      </c>
      <c r="G491">
        <v>0</v>
      </c>
      <c r="H491">
        <v>0</v>
      </c>
      <c r="I491" t="s">
        <v>32</v>
      </c>
      <c r="J491">
        <v>0</v>
      </c>
      <c r="M491" t="s">
        <v>46</v>
      </c>
      <c r="N491">
        <v>0</v>
      </c>
      <c r="R491" t="s">
        <v>51</v>
      </c>
      <c r="S491">
        <v>0</v>
      </c>
    </row>
    <row r="492" spans="1:19" x14ac:dyDescent="0.25">
      <c r="A492" t="s">
        <v>63</v>
      </c>
      <c r="B492">
        <v>5</v>
      </c>
      <c r="C492" t="s">
        <v>30</v>
      </c>
      <c r="D492" t="s">
        <v>64</v>
      </c>
      <c r="E492" s="2">
        <v>0</v>
      </c>
      <c r="F492">
        <v>0</v>
      </c>
      <c r="G492">
        <v>0</v>
      </c>
      <c r="H492">
        <v>0</v>
      </c>
      <c r="I492" t="s">
        <v>32</v>
      </c>
      <c r="J492">
        <v>0</v>
      </c>
      <c r="M492" t="s">
        <v>46</v>
      </c>
      <c r="N492">
        <v>0</v>
      </c>
      <c r="R492" t="s">
        <v>51</v>
      </c>
      <c r="S492">
        <v>175</v>
      </c>
    </row>
    <row r="493" spans="1:19" x14ac:dyDescent="0.25">
      <c r="A493" t="s">
        <v>63</v>
      </c>
      <c r="B493">
        <v>5</v>
      </c>
      <c r="C493" t="s">
        <v>30</v>
      </c>
      <c r="D493" t="s">
        <v>64</v>
      </c>
      <c r="E493" s="2">
        <v>0</v>
      </c>
      <c r="F493">
        <v>0</v>
      </c>
      <c r="G493">
        <v>0</v>
      </c>
      <c r="H493">
        <v>0</v>
      </c>
      <c r="I493" t="s">
        <v>32</v>
      </c>
      <c r="J493">
        <v>0</v>
      </c>
      <c r="M493" t="s">
        <v>46</v>
      </c>
      <c r="N493">
        <v>0</v>
      </c>
      <c r="R493" t="s">
        <v>51</v>
      </c>
      <c r="S493">
        <v>8</v>
      </c>
    </row>
    <row r="494" spans="1:19" x14ac:dyDescent="0.25">
      <c r="A494" t="s">
        <v>63</v>
      </c>
      <c r="B494">
        <v>5</v>
      </c>
      <c r="C494" t="s">
        <v>30</v>
      </c>
      <c r="D494" t="s">
        <v>64</v>
      </c>
      <c r="E494" s="2">
        <v>0</v>
      </c>
      <c r="F494">
        <v>0</v>
      </c>
      <c r="G494">
        <v>0</v>
      </c>
      <c r="H494">
        <v>0</v>
      </c>
      <c r="I494" t="s">
        <v>32</v>
      </c>
      <c r="J494">
        <v>0</v>
      </c>
      <c r="M494" t="s">
        <v>46</v>
      </c>
      <c r="N494">
        <v>16</v>
      </c>
      <c r="R494" t="s">
        <v>51</v>
      </c>
      <c r="S494">
        <v>6</v>
      </c>
    </row>
    <row r="495" spans="1:19" x14ac:dyDescent="0.25">
      <c r="A495" t="s">
        <v>63</v>
      </c>
      <c r="B495">
        <v>5</v>
      </c>
      <c r="C495" t="s">
        <v>30</v>
      </c>
      <c r="D495" t="s">
        <v>64</v>
      </c>
      <c r="E495" s="2">
        <v>0</v>
      </c>
      <c r="F495">
        <v>0</v>
      </c>
      <c r="G495">
        <v>0</v>
      </c>
      <c r="H495">
        <v>0</v>
      </c>
      <c r="I495" t="s">
        <v>32</v>
      </c>
      <c r="J495">
        <v>0</v>
      </c>
      <c r="M495" t="s">
        <v>46</v>
      </c>
      <c r="N495">
        <v>16</v>
      </c>
      <c r="R495" t="s">
        <v>51</v>
      </c>
      <c r="S495">
        <v>46</v>
      </c>
    </row>
    <row r="496" spans="1:19" x14ac:dyDescent="0.25">
      <c r="A496" t="s">
        <v>63</v>
      </c>
      <c r="B496">
        <v>5</v>
      </c>
      <c r="C496" t="s">
        <v>30</v>
      </c>
      <c r="D496" t="s">
        <v>64</v>
      </c>
      <c r="E496" s="2">
        <v>0</v>
      </c>
      <c r="F496">
        <v>0</v>
      </c>
      <c r="G496">
        <v>0</v>
      </c>
      <c r="H496">
        <v>0</v>
      </c>
      <c r="I496" t="s">
        <v>32</v>
      </c>
      <c r="J496">
        <v>0</v>
      </c>
      <c r="M496" t="s">
        <v>46</v>
      </c>
      <c r="N496">
        <v>0</v>
      </c>
      <c r="R496" t="s">
        <v>51</v>
      </c>
      <c r="S496">
        <v>64</v>
      </c>
    </row>
    <row r="497" spans="1:19" x14ac:dyDescent="0.25">
      <c r="A497" t="s">
        <v>63</v>
      </c>
      <c r="B497">
        <v>5</v>
      </c>
      <c r="C497" t="s">
        <v>30</v>
      </c>
      <c r="D497" t="s">
        <v>64</v>
      </c>
      <c r="E497" s="2">
        <v>0</v>
      </c>
      <c r="F497">
        <v>0</v>
      </c>
      <c r="G497">
        <v>0</v>
      </c>
      <c r="H497">
        <v>0</v>
      </c>
      <c r="I497" t="s">
        <v>32</v>
      </c>
      <c r="J497">
        <v>0</v>
      </c>
      <c r="M497" t="s">
        <v>46</v>
      </c>
      <c r="N497">
        <v>3</v>
      </c>
      <c r="R497" t="s">
        <v>51</v>
      </c>
      <c r="S497">
        <v>3</v>
      </c>
    </row>
    <row r="498" spans="1:19" x14ac:dyDescent="0.25">
      <c r="A498" t="s">
        <v>63</v>
      </c>
      <c r="B498">
        <v>5</v>
      </c>
      <c r="C498" t="s">
        <v>30</v>
      </c>
      <c r="D498" t="s">
        <v>64</v>
      </c>
      <c r="E498" s="2">
        <v>0</v>
      </c>
      <c r="F498">
        <v>0</v>
      </c>
      <c r="G498">
        <v>0</v>
      </c>
      <c r="H498">
        <v>0</v>
      </c>
      <c r="I498" t="s">
        <v>32</v>
      </c>
      <c r="J498">
        <v>0</v>
      </c>
      <c r="M498" t="s">
        <v>46</v>
      </c>
      <c r="N498">
        <v>0</v>
      </c>
      <c r="R498" t="s">
        <v>51</v>
      </c>
      <c r="S498">
        <v>0</v>
      </c>
    </row>
    <row r="499" spans="1:19" x14ac:dyDescent="0.25">
      <c r="A499" t="s">
        <v>63</v>
      </c>
      <c r="B499">
        <v>5</v>
      </c>
      <c r="C499" t="s">
        <v>30</v>
      </c>
      <c r="D499" t="s">
        <v>64</v>
      </c>
      <c r="E499" s="2">
        <v>0</v>
      </c>
      <c r="F499">
        <v>0</v>
      </c>
      <c r="G499">
        <v>0</v>
      </c>
      <c r="H499">
        <v>0</v>
      </c>
      <c r="I499" t="s">
        <v>32</v>
      </c>
      <c r="J499">
        <v>0</v>
      </c>
      <c r="M499" t="s">
        <v>46</v>
      </c>
      <c r="N499">
        <v>0</v>
      </c>
      <c r="R499" t="s">
        <v>51</v>
      </c>
      <c r="S499">
        <v>0</v>
      </c>
    </row>
    <row r="500" spans="1:19" x14ac:dyDescent="0.25">
      <c r="A500" t="s">
        <v>63</v>
      </c>
      <c r="B500">
        <v>5</v>
      </c>
      <c r="C500" t="s">
        <v>30</v>
      </c>
      <c r="D500" t="s">
        <v>64</v>
      </c>
      <c r="E500" s="2">
        <v>0</v>
      </c>
      <c r="F500">
        <v>0</v>
      </c>
      <c r="G500">
        <v>0</v>
      </c>
      <c r="H500">
        <v>0</v>
      </c>
      <c r="I500" t="s">
        <v>32</v>
      </c>
      <c r="J500">
        <v>0</v>
      </c>
      <c r="M500" t="s">
        <v>46</v>
      </c>
      <c r="N500">
        <v>0</v>
      </c>
      <c r="R500" t="s">
        <v>51</v>
      </c>
      <c r="S500">
        <v>75</v>
      </c>
    </row>
    <row r="501" spans="1:19" x14ac:dyDescent="0.25">
      <c r="A501" t="s">
        <v>63</v>
      </c>
      <c r="B501">
        <v>5</v>
      </c>
      <c r="C501" t="s">
        <v>30</v>
      </c>
      <c r="D501" t="s">
        <v>64</v>
      </c>
      <c r="E501" s="2">
        <v>0</v>
      </c>
      <c r="F501">
        <v>0</v>
      </c>
      <c r="G501">
        <v>0</v>
      </c>
      <c r="H501">
        <v>0</v>
      </c>
      <c r="I501" t="s">
        <v>32</v>
      </c>
      <c r="J501">
        <v>0</v>
      </c>
      <c r="M501" t="s">
        <v>46</v>
      </c>
      <c r="N501">
        <v>5</v>
      </c>
      <c r="R501" t="s">
        <v>51</v>
      </c>
      <c r="S501">
        <v>0</v>
      </c>
    </row>
    <row r="502" spans="1:19" x14ac:dyDescent="0.25">
      <c r="A502" t="s">
        <v>63</v>
      </c>
      <c r="B502">
        <v>5</v>
      </c>
      <c r="C502" t="s">
        <v>34</v>
      </c>
      <c r="D502" t="s">
        <v>65</v>
      </c>
      <c r="E502" s="2">
        <v>0</v>
      </c>
      <c r="F502">
        <v>0</v>
      </c>
      <c r="G502">
        <v>0</v>
      </c>
      <c r="H502">
        <v>0</v>
      </c>
      <c r="I502" t="s">
        <v>32</v>
      </c>
      <c r="J502">
        <v>0</v>
      </c>
      <c r="M502" t="s">
        <v>46</v>
      </c>
      <c r="N502">
        <v>10</v>
      </c>
      <c r="R502" t="s">
        <v>51</v>
      </c>
      <c r="S502">
        <v>166</v>
      </c>
    </row>
    <row r="503" spans="1:19" x14ac:dyDescent="0.25">
      <c r="A503" t="s">
        <v>63</v>
      </c>
      <c r="B503">
        <v>5</v>
      </c>
      <c r="C503" t="s">
        <v>34</v>
      </c>
      <c r="D503" t="s">
        <v>65</v>
      </c>
      <c r="E503" s="2">
        <v>0</v>
      </c>
      <c r="F503">
        <v>0</v>
      </c>
      <c r="G503">
        <v>0</v>
      </c>
      <c r="H503">
        <v>0</v>
      </c>
      <c r="I503" t="s">
        <v>32</v>
      </c>
      <c r="J503">
        <v>0</v>
      </c>
      <c r="M503" t="s">
        <v>46</v>
      </c>
      <c r="N503">
        <v>12</v>
      </c>
      <c r="R503" t="s">
        <v>51</v>
      </c>
      <c r="S503">
        <v>61</v>
      </c>
    </row>
    <row r="504" spans="1:19" x14ac:dyDescent="0.25">
      <c r="A504" t="s">
        <v>63</v>
      </c>
      <c r="B504">
        <v>5</v>
      </c>
      <c r="C504" t="s">
        <v>34</v>
      </c>
      <c r="D504" t="s">
        <v>65</v>
      </c>
      <c r="E504" s="2">
        <v>0</v>
      </c>
      <c r="F504">
        <v>0</v>
      </c>
      <c r="G504">
        <v>0</v>
      </c>
      <c r="H504">
        <v>0</v>
      </c>
      <c r="I504" t="s">
        <v>32</v>
      </c>
      <c r="J504">
        <v>0</v>
      </c>
      <c r="M504" t="s">
        <v>46</v>
      </c>
      <c r="N504">
        <v>6</v>
      </c>
      <c r="R504" t="s">
        <v>51</v>
      </c>
      <c r="S504">
        <v>0</v>
      </c>
    </row>
    <row r="505" spans="1:19" x14ac:dyDescent="0.25">
      <c r="A505" t="s">
        <v>63</v>
      </c>
      <c r="B505">
        <v>5</v>
      </c>
      <c r="C505" t="s">
        <v>34</v>
      </c>
      <c r="D505" t="s">
        <v>65</v>
      </c>
      <c r="E505" s="2">
        <v>0</v>
      </c>
      <c r="F505">
        <v>0</v>
      </c>
      <c r="G505">
        <v>0</v>
      </c>
      <c r="H505">
        <v>0</v>
      </c>
      <c r="I505" t="s">
        <v>32</v>
      </c>
      <c r="J505">
        <v>0</v>
      </c>
      <c r="M505" t="s">
        <v>46</v>
      </c>
      <c r="N505">
        <v>0</v>
      </c>
      <c r="R505" t="s">
        <v>51</v>
      </c>
      <c r="S505">
        <v>18</v>
      </c>
    </row>
    <row r="506" spans="1:19" x14ac:dyDescent="0.25">
      <c r="A506" t="s">
        <v>63</v>
      </c>
      <c r="B506">
        <v>5</v>
      </c>
      <c r="C506" t="s">
        <v>34</v>
      </c>
      <c r="D506" t="s">
        <v>65</v>
      </c>
      <c r="E506" s="2">
        <v>0</v>
      </c>
      <c r="F506">
        <v>0</v>
      </c>
      <c r="G506">
        <v>0</v>
      </c>
      <c r="H506">
        <v>0</v>
      </c>
      <c r="I506" t="s">
        <v>32</v>
      </c>
      <c r="J506">
        <v>0</v>
      </c>
      <c r="M506" t="s">
        <v>46</v>
      </c>
      <c r="N506">
        <v>0</v>
      </c>
      <c r="R506" t="s">
        <v>51</v>
      </c>
      <c r="S506">
        <v>14</v>
      </c>
    </row>
    <row r="507" spans="1:19" x14ac:dyDescent="0.25">
      <c r="A507" t="s">
        <v>63</v>
      </c>
      <c r="B507">
        <v>5</v>
      </c>
      <c r="C507" t="s">
        <v>34</v>
      </c>
      <c r="D507" t="s">
        <v>65</v>
      </c>
      <c r="E507" s="2">
        <v>0</v>
      </c>
      <c r="F507">
        <v>0</v>
      </c>
      <c r="G507">
        <v>0</v>
      </c>
      <c r="H507">
        <v>0</v>
      </c>
      <c r="I507" t="s">
        <v>32</v>
      </c>
      <c r="J507">
        <v>0</v>
      </c>
      <c r="M507" t="s">
        <v>46</v>
      </c>
      <c r="N507">
        <v>0</v>
      </c>
      <c r="R507" t="s">
        <v>51</v>
      </c>
      <c r="S507">
        <v>72</v>
      </c>
    </row>
    <row r="508" spans="1:19" x14ac:dyDescent="0.25">
      <c r="A508" t="s">
        <v>63</v>
      </c>
      <c r="B508">
        <v>5</v>
      </c>
      <c r="C508" t="s">
        <v>34</v>
      </c>
      <c r="D508" t="s">
        <v>65</v>
      </c>
      <c r="E508" s="2">
        <v>0</v>
      </c>
      <c r="F508">
        <v>0</v>
      </c>
      <c r="G508">
        <v>0</v>
      </c>
      <c r="H508">
        <v>0</v>
      </c>
      <c r="I508" t="s">
        <v>32</v>
      </c>
      <c r="J508">
        <v>0</v>
      </c>
      <c r="M508" t="s">
        <v>46</v>
      </c>
      <c r="N508">
        <v>65</v>
      </c>
      <c r="R508" t="s">
        <v>51</v>
      </c>
      <c r="S508">
        <v>0</v>
      </c>
    </row>
    <row r="509" spans="1:19" x14ac:dyDescent="0.25">
      <c r="A509" t="s">
        <v>63</v>
      </c>
      <c r="B509">
        <v>5</v>
      </c>
      <c r="C509" t="s">
        <v>34</v>
      </c>
      <c r="D509" t="s">
        <v>65</v>
      </c>
      <c r="E509" s="2">
        <v>0</v>
      </c>
      <c r="F509">
        <v>0</v>
      </c>
      <c r="G509">
        <v>0</v>
      </c>
      <c r="H509">
        <v>0</v>
      </c>
      <c r="I509" t="s">
        <v>32</v>
      </c>
      <c r="J509">
        <v>0</v>
      </c>
      <c r="M509" t="s">
        <v>46</v>
      </c>
      <c r="N509">
        <v>0</v>
      </c>
      <c r="R509" t="s">
        <v>51</v>
      </c>
      <c r="S509">
        <v>76</v>
      </c>
    </row>
    <row r="510" spans="1:19" x14ac:dyDescent="0.25">
      <c r="A510" t="s">
        <v>63</v>
      </c>
      <c r="B510">
        <v>5</v>
      </c>
      <c r="C510" t="s">
        <v>34</v>
      </c>
      <c r="D510" t="s">
        <v>65</v>
      </c>
      <c r="E510" s="2">
        <v>0</v>
      </c>
      <c r="F510">
        <v>0</v>
      </c>
      <c r="G510">
        <v>0</v>
      </c>
      <c r="H510">
        <v>0</v>
      </c>
      <c r="I510" t="s">
        <v>32</v>
      </c>
      <c r="J510">
        <v>0</v>
      </c>
      <c r="M510" t="s">
        <v>46</v>
      </c>
      <c r="N510">
        <v>0</v>
      </c>
      <c r="R510" t="s">
        <v>51</v>
      </c>
      <c r="S510">
        <v>0</v>
      </c>
    </row>
    <row r="511" spans="1:19" x14ac:dyDescent="0.25">
      <c r="A511" t="s">
        <v>63</v>
      </c>
      <c r="B511">
        <v>5</v>
      </c>
      <c r="C511" t="s">
        <v>34</v>
      </c>
      <c r="D511" t="s">
        <v>65</v>
      </c>
      <c r="E511" s="2">
        <v>0</v>
      </c>
      <c r="F511">
        <v>0</v>
      </c>
      <c r="G511">
        <v>0</v>
      </c>
      <c r="H511">
        <v>0</v>
      </c>
      <c r="I511" t="s">
        <v>32</v>
      </c>
      <c r="J511">
        <v>0</v>
      </c>
      <c r="M511" t="s">
        <v>46</v>
      </c>
      <c r="N511">
        <v>0</v>
      </c>
      <c r="R511" t="s">
        <v>51</v>
      </c>
      <c r="S511">
        <v>0</v>
      </c>
    </row>
    <row r="512" spans="1:19" x14ac:dyDescent="0.25">
      <c r="A512" t="s">
        <v>63</v>
      </c>
      <c r="B512">
        <v>5</v>
      </c>
      <c r="C512" t="s">
        <v>34</v>
      </c>
      <c r="D512" t="s">
        <v>65</v>
      </c>
      <c r="E512" s="2">
        <v>0</v>
      </c>
      <c r="F512">
        <v>0</v>
      </c>
      <c r="G512">
        <v>0</v>
      </c>
      <c r="H512">
        <v>0</v>
      </c>
      <c r="I512" t="s">
        <v>32</v>
      </c>
      <c r="J512">
        <v>0</v>
      </c>
      <c r="M512" t="s">
        <v>46</v>
      </c>
      <c r="N512">
        <v>137</v>
      </c>
      <c r="R512" t="s">
        <v>51</v>
      </c>
      <c r="S512">
        <v>7</v>
      </c>
    </row>
    <row r="513" spans="1:19" x14ac:dyDescent="0.25">
      <c r="A513" t="s">
        <v>63</v>
      </c>
      <c r="B513">
        <v>5</v>
      </c>
      <c r="C513" t="s">
        <v>34</v>
      </c>
      <c r="D513" t="s">
        <v>65</v>
      </c>
      <c r="E513" s="2">
        <v>0</v>
      </c>
      <c r="F513">
        <v>0</v>
      </c>
      <c r="G513">
        <v>0</v>
      </c>
      <c r="H513">
        <v>0</v>
      </c>
      <c r="I513" t="s">
        <v>32</v>
      </c>
      <c r="J513">
        <v>0</v>
      </c>
      <c r="M513" t="s">
        <v>46</v>
      </c>
      <c r="N513">
        <v>5</v>
      </c>
      <c r="R513" t="s">
        <v>51</v>
      </c>
      <c r="S513">
        <v>51</v>
      </c>
    </row>
    <row r="514" spans="1:19" x14ac:dyDescent="0.25">
      <c r="A514" t="s">
        <v>63</v>
      </c>
      <c r="B514">
        <v>5</v>
      </c>
      <c r="C514" t="s">
        <v>34</v>
      </c>
      <c r="D514" t="s">
        <v>65</v>
      </c>
      <c r="E514" s="2">
        <v>0</v>
      </c>
      <c r="F514">
        <v>0</v>
      </c>
      <c r="G514">
        <v>0</v>
      </c>
      <c r="H514">
        <v>0</v>
      </c>
      <c r="I514" t="s">
        <v>32</v>
      </c>
      <c r="J514">
        <v>0</v>
      </c>
      <c r="M514" t="s">
        <v>46</v>
      </c>
      <c r="N514">
        <v>11</v>
      </c>
      <c r="R514" t="s">
        <v>51</v>
      </c>
      <c r="S514">
        <v>70</v>
      </c>
    </row>
    <row r="515" spans="1:19" x14ac:dyDescent="0.25">
      <c r="A515" t="s">
        <v>63</v>
      </c>
      <c r="B515">
        <v>5</v>
      </c>
      <c r="C515" t="s">
        <v>34</v>
      </c>
      <c r="D515" t="s">
        <v>65</v>
      </c>
      <c r="E515" s="2">
        <v>0</v>
      </c>
      <c r="F515">
        <v>0</v>
      </c>
      <c r="G515">
        <v>0</v>
      </c>
      <c r="H515">
        <v>0</v>
      </c>
      <c r="I515" t="s">
        <v>32</v>
      </c>
      <c r="J515">
        <v>0</v>
      </c>
      <c r="M515" t="s">
        <v>46</v>
      </c>
      <c r="N515">
        <v>0</v>
      </c>
      <c r="R515" t="s">
        <v>51</v>
      </c>
      <c r="S515">
        <v>126</v>
      </c>
    </row>
    <row r="516" spans="1:19" x14ac:dyDescent="0.25">
      <c r="A516" t="s">
        <v>63</v>
      </c>
      <c r="B516">
        <v>5</v>
      </c>
      <c r="C516" t="s">
        <v>34</v>
      </c>
      <c r="D516" t="s">
        <v>65</v>
      </c>
      <c r="E516" s="2">
        <v>0</v>
      </c>
      <c r="F516">
        <v>0</v>
      </c>
      <c r="G516">
        <v>0</v>
      </c>
      <c r="H516">
        <v>0</v>
      </c>
      <c r="I516" t="s">
        <v>32</v>
      </c>
      <c r="J516">
        <v>0</v>
      </c>
      <c r="M516" t="s">
        <v>46</v>
      </c>
      <c r="N516">
        <v>93</v>
      </c>
      <c r="R516" t="s">
        <v>51</v>
      </c>
      <c r="S516">
        <v>148</v>
      </c>
    </row>
    <row r="517" spans="1:19" x14ac:dyDescent="0.25">
      <c r="A517" t="s">
        <v>63</v>
      </c>
      <c r="B517">
        <v>5</v>
      </c>
      <c r="C517" t="s">
        <v>34</v>
      </c>
      <c r="D517" t="s">
        <v>65</v>
      </c>
      <c r="E517" s="2">
        <v>0</v>
      </c>
      <c r="F517">
        <v>0</v>
      </c>
      <c r="G517">
        <v>0</v>
      </c>
      <c r="H517">
        <v>0</v>
      </c>
      <c r="I517" t="s">
        <v>32</v>
      </c>
      <c r="J517">
        <v>0</v>
      </c>
      <c r="M517" t="s">
        <v>46</v>
      </c>
      <c r="N517">
        <v>4</v>
      </c>
      <c r="R517" t="s">
        <v>51</v>
      </c>
      <c r="S517">
        <v>38</v>
      </c>
    </row>
    <row r="518" spans="1:19" x14ac:dyDescent="0.25">
      <c r="A518" t="s">
        <v>63</v>
      </c>
      <c r="B518">
        <v>5</v>
      </c>
      <c r="C518" t="s">
        <v>34</v>
      </c>
      <c r="D518" t="s">
        <v>65</v>
      </c>
      <c r="E518" s="2">
        <v>0</v>
      </c>
      <c r="F518">
        <v>0</v>
      </c>
      <c r="G518">
        <v>0</v>
      </c>
      <c r="H518">
        <v>0</v>
      </c>
      <c r="I518" t="s">
        <v>32</v>
      </c>
      <c r="J518">
        <v>0</v>
      </c>
      <c r="M518" t="s">
        <v>46</v>
      </c>
      <c r="N518">
        <v>21</v>
      </c>
      <c r="R518" t="s">
        <v>51</v>
      </c>
      <c r="S518">
        <v>41</v>
      </c>
    </row>
    <row r="519" spans="1:19" x14ac:dyDescent="0.25">
      <c r="A519" t="s">
        <v>63</v>
      </c>
      <c r="B519">
        <v>5</v>
      </c>
      <c r="C519" t="s">
        <v>34</v>
      </c>
      <c r="D519" t="s">
        <v>65</v>
      </c>
      <c r="E519" s="2">
        <v>0</v>
      </c>
      <c r="F519">
        <v>0</v>
      </c>
      <c r="G519">
        <v>0</v>
      </c>
      <c r="H519">
        <v>0</v>
      </c>
      <c r="I519" t="s">
        <v>32</v>
      </c>
      <c r="J519">
        <v>0</v>
      </c>
      <c r="M519" t="s">
        <v>46</v>
      </c>
      <c r="N519">
        <v>0</v>
      </c>
      <c r="R519" t="s">
        <v>51</v>
      </c>
      <c r="S519">
        <v>69</v>
      </c>
    </row>
    <row r="520" spans="1:19" x14ac:dyDescent="0.25">
      <c r="A520" t="s">
        <v>63</v>
      </c>
      <c r="B520">
        <v>5</v>
      </c>
      <c r="C520" t="s">
        <v>34</v>
      </c>
      <c r="D520" t="s">
        <v>65</v>
      </c>
      <c r="E520" s="2">
        <v>0</v>
      </c>
      <c r="F520">
        <v>0</v>
      </c>
      <c r="G520">
        <v>0</v>
      </c>
      <c r="H520">
        <v>0</v>
      </c>
      <c r="I520" t="s">
        <v>32</v>
      </c>
      <c r="J520">
        <v>0</v>
      </c>
      <c r="M520" t="s">
        <v>46</v>
      </c>
      <c r="N520">
        <v>0</v>
      </c>
      <c r="R520" t="s">
        <v>51</v>
      </c>
      <c r="S520">
        <v>109</v>
      </c>
    </row>
    <row r="521" spans="1:19" x14ac:dyDescent="0.25">
      <c r="A521" t="s">
        <v>63</v>
      </c>
      <c r="B521">
        <v>1</v>
      </c>
      <c r="C521" t="s">
        <v>34</v>
      </c>
      <c r="D521" t="s">
        <v>67</v>
      </c>
      <c r="E521" s="2">
        <v>0</v>
      </c>
      <c r="F521">
        <v>0</v>
      </c>
      <c r="G521">
        <v>0</v>
      </c>
      <c r="H521">
        <v>0</v>
      </c>
      <c r="I521" t="s">
        <v>32</v>
      </c>
      <c r="J521">
        <v>0</v>
      </c>
      <c r="M521" t="s">
        <v>46</v>
      </c>
      <c r="N521">
        <v>0</v>
      </c>
      <c r="R521" t="s">
        <v>51</v>
      </c>
      <c r="S521">
        <v>22</v>
      </c>
    </row>
    <row r="522" spans="1:19" x14ac:dyDescent="0.25">
      <c r="A522" t="s">
        <v>63</v>
      </c>
      <c r="B522">
        <v>1</v>
      </c>
      <c r="C522" t="s">
        <v>34</v>
      </c>
      <c r="D522" t="s">
        <v>67</v>
      </c>
      <c r="E522" s="2">
        <v>0</v>
      </c>
      <c r="F522">
        <v>0</v>
      </c>
      <c r="G522">
        <v>0</v>
      </c>
      <c r="H522">
        <v>0</v>
      </c>
      <c r="I522" t="s">
        <v>32</v>
      </c>
      <c r="J522">
        <v>0</v>
      </c>
      <c r="M522" t="s">
        <v>46</v>
      </c>
      <c r="N522">
        <v>0</v>
      </c>
      <c r="R522" t="s">
        <v>51</v>
      </c>
      <c r="S522">
        <v>105</v>
      </c>
    </row>
    <row r="523" spans="1:19" x14ac:dyDescent="0.25">
      <c r="A523" t="s">
        <v>63</v>
      </c>
      <c r="B523">
        <v>1</v>
      </c>
      <c r="C523" t="s">
        <v>34</v>
      </c>
      <c r="D523" t="s">
        <v>67</v>
      </c>
      <c r="E523" s="2">
        <v>0</v>
      </c>
      <c r="F523">
        <v>0</v>
      </c>
      <c r="G523">
        <v>0</v>
      </c>
      <c r="H523">
        <v>0</v>
      </c>
      <c r="I523" t="s">
        <v>32</v>
      </c>
      <c r="J523">
        <v>0</v>
      </c>
      <c r="M523" t="s">
        <v>46</v>
      </c>
      <c r="N523">
        <v>6</v>
      </c>
      <c r="R523" t="s">
        <v>51</v>
      </c>
      <c r="S523">
        <v>40</v>
      </c>
    </row>
    <row r="524" spans="1:19" x14ac:dyDescent="0.25">
      <c r="A524" t="s">
        <v>63</v>
      </c>
      <c r="B524">
        <v>1</v>
      </c>
      <c r="C524" t="s">
        <v>34</v>
      </c>
      <c r="D524" t="s">
        <v>67</v>
      </c>
      <c r="E524" s="2">
        <v>0</v>
      </c>
      <c r="F524">
        <v>0</v>
      </c>
      <c r="G524">
        <v>0</v>
      </c>
      <c r="H524">
        <v>0</v>
      </c>
      <c r="I524" t="s">
        <v>32</v>
      </c>
      <c r="J524">
        <v>0</v>
      </c>
      <c r="M524" t="s">
        <v>46</v>
      </c>
      <c r="N524">
        <v>75</v>
      </c>
      <c r="R524" t="s">
        <v>51</v>
      </c>
      <c r="S524">
        <v>25</v>
      </c>
    </row>
    <row r="525" spans="1:19" x14ac:dyDescent="0.25">
      <c r="A525" t="s">
        <v>63</v>
      </c>
      <c r="B525">
        <v>1</v>
      </c>
      <c r="C525" t="s">
        <v>34</v>
      </c>
      <c r="D525" t="s">
        <v>67</v>
      </c>
      <c r="E525" s="2">
        <v>0</v>
      </c>
      <c r="F525">
        <v>0</v>
      </c>
      <c r="G525">
        <v>0</v>
      </c>
      <c r="H525">
        <v>0</v>
      </c>
      <c r="I525" t="s">
        <v>32</v>
      </c>
      <c r="J525">
        <v>0</v>
      </c>
      <c r="M525" t="s">
        <v>46</v>
      </c>
      <c r="N525">
        <v>0</v>
      </c>
      <c r="R525" t="s">
        <v>51</v>
      </c>
      <c r="S525">
        <v>156</v>
      </c>
    </row>
    <row r="526" spans="1:19" x14ac:dyDescent="0.25">
      <c r="A526" t="s">
        <v>63</v>
      </c>
      <c r="B526">
        <v>1</v>
      </c>
      <c r="C526" t="s">
        <v>34</v>
      </c>
      <c r="D526" t="s">
        <v>67</v>
      </c>
      <c r="E526" s="2">
        <v>0</v>
      </c>
      <c r="F526">
        <v>0</v>
      </c>
      <c r="G526">
        <v>0</v>
      </c>
      <c r="H526">
        <v>0</v>
      </c>
      <c r="I526" t="s">
        <v>32</v>
      </c>
      <c r="J526">
        <v>0</v>
      </c>
      <c r="M526" t="s">
        <v>46</v>
      </c>
      <c r="N526">
        <v>8</v>
      </c>
      <c r="R526" t="s">
        <v>51</v>
      </c>
      <c r="S526">
        <v>6</v>
      </c>
    </row>
    <row r="527" spans="1:19" x14ac:dyDescent="0.25">
      <c r="A527" t="s">
        <v>63</v>
      </c>
      <c r="B527">
        <v>1</v>
      </c>
      <c r="C527" t="s">
        <v>34</v>
      </c>
      <c r="D527" t="s">
        <v>67</v>
      </c>
      <c r="E527" s="2">
        <v>0</v>
      </c>
      <c r="F527">
        <v>0</v>
      </c>
      <c r="G527">
        <v>0</v>
      </c>
      <c r="H527">
        <v>0</v>
      </c>
      <c r="I527" t="s">
        <v>32</v>
      </c>
      <c r="J527">
        <v>0</v>
      </c>
      <c r="M527" t="s">
        <v>46</v>
      </c>
      <c r="N527">
        <v>0</v>
      </c>
      <c r="R527" t="s">
        <v>51</v>
      </c>
      <c r="S527">
        <v>0</v>
      </c>
    </row>
    <row r="528" spans="1:19" x14ac:dyDescent="0.25">
      <c r="A528" t="s">
        <v>68</v>
      </c>
      <c r="B528">
        <v>6</v>
      </c>
      <c r="C528" t="s">
        <v>30</v>
      </c>
      <c r="D528" t="s">
        <v>69</v>
      </c>
      <c r="E528" s="2">
        <v>0</v>
      </c>
      <c r="F528">
        <v>0</v>
      </c>
      <c r="G528">
        <v>0</v>
      </c>
      <c r="H528">
        <v>0</v>
      </c>
      <c r="I528" t="s">
        <v>32</v>
      </c>
      <c r="J528">
        <v>0</v>
      </c>
      <c r="M528" t="s">
        <v>46</v>
      </c>
      <c r="N528">
        <v>0</v>
      </c>
      <c r="R528" t="s">
        <v>51</v>
      </c>
      <c r="S528">
        <v>4</v>
      </c>
    </row>
    <row r="529" spans="1:19" x14ac:dyDescent="0.25">
      <c r="A529" t="s">
        <v>68</v>
      </c>
      <c r="B529">
        <v>6</v>
      </c>
      <c r="C529" t="s">
        <v>30</v>
      </c>
      <c r="D529" t="s">
        <v>69</v>
      </c>
      <c r="E529" s="2">
        <v>0</v>
      </c>
      <c r="F529">
        <v>0</v>
      </c>
      <c r="G529">
        <v>0</v>
      </c>
      <c r="H529">
        <v>0</v>
      </c>
      <c r="I529" t="s">
        <v>32</v>
      </c>
      <c r="J529">
        <v>0</v>
      </c>
      <c r="M529" t="s">
        <v>46</v>
      </c>
      <c r="N529">
        <v>9</v>
      </c>
      <c r="R529" t="s">
        <v>51</v>
      </c>
      <c r="S529">
        <v>0</v>
      </c>
    </row>
    <row r="530" spans="1:19" x14ac:dyDescent="0.25">
      <c r="A530" t="s">
        <v>68</v>
      </c>
      <c r="B530">
        <v>6</v>
      </c>
      <c r="C530" t="s">
        <v>30</v>
      </c>
      <c r="D530" t="s">
        <v>69</v>
      </c>
      <c r="E530" s="2">
        <v>0</v>
      </c>
      <c r="F530">
        <v>0</v>
      </c>
      <c r="G530">
        <v>0</v>
      </c>
      <c r="H530">
        <v>0</v>
      </c>
      <c r="I530" t="s">
        <v>32</v>
      </c>
      <c r="J530">
        <v>0</v>
      </c>
      <c r="M530" t="s">
        <v>46</v>
      </c>
      <c r="N530">
        <v>0</v>
      </c>
      <c r="R530" t="s">
        <v>51</v>
      </c>
      <c r="S530">
        <v>0</v>
      </c>
    </row>
    <row r="531" spans="1:19" x14ac:dyDescent="0.25">
      <c r="A531" t="s">
        <v>68</v>
      </c>
      <c r="B531">
        <v>6</v>
      </c>
      <c r="C531" t="s">
        <v>30</v>
      </c>
      <c r="D531" t="s">
        <v>69</v>
      </c>
      <c r="E531" s="2">
        <v>0</v>
      </c>
      <c r="F531">
        <v>0</v>
      </c>
      <c r="G531">
        <v>0</v>
      </c>
      <c r="H531">
        <v>0</v>
      </c>
      <c r="I531" t="s">
        <v>32</v>
      </c>
      <c r="J531">
        <v>0</v>
      </c>
      <c r="M531" t="s">
        <v>46</v>
      </c>
      <c r="N531">
        <v>0</v>
      </c>
      <c r="R531" t="s">
        <v>51</v>
      </c>
      <c r="S531">
        <v>0</v>
      </c>
    </row>
    <row r="532" spans="1:19" x14ac:dyDescent="0.25">
      <c r="A532" t="s">
        <v>68</v>
      </c>
      <c r="B532">
        <v>6</v>
      </c>
      <c r="C532" t="s">
        <v>30</v>
      </c>
      <c r="D532" t="s">
        <v>69</v>
      </c>
      <c r="E532" s="2">
        <v>0</v>
      </c>
      <c r="F532">
        <v>0</v>
      </c>
      <c r="G532">
        <v>0</v>
      </c>
      <c r="H532">
        <v>0</v>
      </c>
      <c r="I532" t="s">
        <v>32</v>
      </c>
      <c r="J532">
        <v>0</v>
      </c>
      <c r="M532" t="s">
        <v>46</v>
      </c>
      <c r="N532">
        <v>0</v>
      </c>
      <c r="R532" t="s">
        <v>51</v>
      </c>
      <c r="S532">
        <v>0</v>
      </c>
    </row>
    <row r="533" spans="1:19" x14ac:dyDescent="0.25">
      <c r="A533" t="s">
        <v>68</v>
      </c>
      <c r="B533">
        <v>6</v>
      </c>
      <c r="C533" t="s">
        <v>34</v>
      </c>
      <c r="D533" t="s">
        <v>70</v>
      </c>
      <c r="E533" s="2">
        <v>0</v>
      </c>
      <c r="F533">
        <v>0</v>
      </c>
      <c r="G533">
        <v>0</v>
      </c>
      <c r="H533">
        <v>0</v>
      </c>
      <c r="I533" t="s">
        <v>32</v>
      </c>
      <c r="J533">
        <v>0</v>
      </c>
      <c r="M533" t="s">
        <v>46</v>
      </c>
      <c r="N533">
        <v>5</v>
      </c>
      <c r="R533" t="s">
        <v>51</v>
      </c>
      <c r="S533">
        <v>0</v>
      </c>
    </row>
    <row r="534" spans="1:19" x14ac:dyDescent="0.25">
      <c r="A534" t="s">
        <v>68</v>
      </c>
      <c r="B534">
        <v>6</v>
      </c>
      <c r="C534" t="s">
        <v>34</v>
      </c>
      <c r="D534" t="s">
        <v>70</v>
      </c>
      <c r="E534" s="2">
        <v>0</v>
      </c>
      <c r="F534">
        <v>0</v>
      </c>
      <c r="G534">
        <v>0</v>
      </c>
      <c r="H534">
        <v>0</v>
      </c>
      <c r="I534" t="s">
        <v>32</v>
      </c>
      <c r="J534">
        <v>0</v>
      </c>
      <c r="M534" t="s">
        <v>46</v>
      </c>
      <c r="N534">
        <v>15</v>
      </c>
      <c r="R534" t="s">
        <v>51</v>
      </c>
      <c r="S534">
        <v>0</v>
      </c>
    </row>
    <row r="535" spans="1:19" x14ac:dyDescent="0.25">
      <c r="A535" t="s">
        <v>68</v>
      </c>
      <c r="B535">
        <v>6</v>
      </c>
      <c r="C535" t="s">
        <v>34</v>
      </c>
      <c r="D535" t="s">
        <v>70</v>
      </c>
      <c r="E535" s="2">
        <v>0</v>
      </c>
      <c r="F535">
        <v>0</v>
      </c>
      <c r="G535">
        <v>0</v>
      </c>
      <c r="H535">
        <v>0</v>
      </c>
      <c r="I535" t="s">
        <v>32</v>
      </c>
      <c r="J535">
        <v>0</v>
      </c>
      <c r="M535" t="s">
        <v>46</v>
      </c>
      <c r="N535">
        <v>6</v>
      </c>
      <c r="R535" t="s">
        <v>51</v>
      </c>
      <c r="S535">
        <v>0</v>
      </c>
    </row>
    <row r="536" spans="1:19" x14ac:dyDescent="0.25">
      <c r="A536" t="s">
        <v>68</v>
      </c>
      <c r="B536">
        <v>6</v>
      </c>
      <c r="C536" t="s">
        <v>34</v>
      </c>
      <c r="D536" t="s">
        <v>70</v>
      </c>
      <c r="E536" s="2">
        <v>0</v>
      </c>
      <c r="F536">
        <v>0</v>
      </c>
      <c r="G536">
        <v>0</v>
      </c>
      <c r="H536">
        <v>0</v>
      </c>
      <c r="I536" t="s">
        <v>32</v>
      </c>
      <c r="J536">
        <v>0</v>
      </c>
      <c r="M536" t="s">
        <v>46</v>
      </c>
      <c r="N536">
        <v>0</v>
      </c>
      <c r="R536" t="s">
        <v>51</v>
      </c>
      <c r="S536">
        <v>0</v>
      </c>
    </row>
    <row r="537" spans="1:19" x14ac:dyDescent="0.25">
      <c r="A537" t="s">
        <v>68</v>
      </c>
      <c r="B537">
        <v>6</v>
      </c>
      <c r="C537" t="s">
        <v>34</v>
      </c>
      <c r="D537" t="s">
        <v>70</v>
      </c>
      <c r="E537" s="2">
        <v>0</v>
      </c>
      <c r="F537">
        <v>0</v>
      </c>
      <c r="G537">
        <v>0</v>
      </c>
      <c r="H537">
        <v>0</v>
      </c>
      <c r="I537" t="s">
        <v>32</v>
      </c>
      <c r="J537">
        <v>0</v>
      </c>
      <c r="M537" t="s">
        <v>46</v>
      </c>
      <c r="N537">
        <v>9</v>
      </c>
      <c r="R537" t="s">
        <v>51</v>
      </c>
      <c r="S537">
        <v>0</v>
      </c>
    </row>
    <row r="538" spans="1:19" x14ac:dyDescent="0.25">
      <c r="A538" t="s">
        <v>68</v>
      </c>
      <c r="B538">
        <v>6</v>
      </c>
      <c r="C538" t="s">
        <v>34</v>
      </c>
      <c r="D538" t="s">
        <v>70</v>
      </c>
      <c r="E538" s="2">
        <v>0</v>
      </c>
      <c r="F538">
        <v>0</v>
      </c>
      <c r="G538">
        <v>0</v>
      </c>
      <c r="H538">
        <v>0</v>
      </c>
      <c r="I538" t="s">
        <v>32</v>
      </c>
      <c r="J538">
        <v>0</v>
      </c>
      <c r="M538" t="s">
        <v>46</v>
      </c>
      <c r="N538">
        <v>10</v>
      </c>
      <c r="R538" t="s">
        <v>51</v>
      </c>
      <c r="S538">
        <v>4</v>
      </c>
    </row>
    <row r="539" spans="1:19" x14ac:dyDescent="0.25">
      <c r="A539" t="s">
        <v>68</v>
      </c>
      <c r="B539">
        <v>6</v>
      </c>
      <c r="C539" t="s">
        <v>34</v>
      </c>
      <c r="D539" t="s">
        <v>70</v>
      </c>
      <c r="E539" s="2">
        <v>0</v>
      </c>
      <c r="F539">
        <v>0</v>
      </c>
      <c r="G539">
        <v>0</v>
      </c>
      <c r="H539">
        <v>0</v>
      </c>
      <c r="I539" t="s">
        <v>32</v>
      </c>
      <c r="J539">
        <v>0</v>
      </c>
      <c r="M539" t="s">
        <v>48</v>
      </c>
      <c r="N539">
        <v>0</v>
      </c>
      <c r="R539" t="s">
        <v>55</v>
      </c>
      <c r="S539">
        <v>11</v>
      </c>
    </row>
    <row r="540" spans="1:19" x14ac:dyDescent="0.25">
      <c r="A540" t="s">
        <v>68</v>
      </c>
      <c r="B540">
        <v>6</v>
      </c>
      <c r="C540" t="s">
        <v>34</v>
      </c>
      <c r="D540" t="s">
        <v>70</v>
      </c>
      <c r="E540" s="2">
        <v>0</v>
      </c>
      <c r="F540">
        <v>0</v>
      </c>
      <c r="G540">
        <v>0</v>
      </c>
      <c r="H540">
        <v>0</v>
      </c>
      <c r="I540" t="s">
        <v>32</v>
      </c>
      <c r="J540">
        <v>0</v>
      </c>
      <c r="M540" t="s">
        <v>48</v>
      </c>
      <c r="N540">
        <v>7</v>
      </c>
      <c r="R540" t="s">
        <v>55</v>
      </c>
      <c r="S540">
        <v>13</v>
      </c>
    </row>
    <row r="541" spans="1:19" x14ac:dyDescent="0.25">
      <c r="A541" t="s">
        <v>68</v>
      </c>
      <c r="B541">
        <v>6</v>
      </c>
      <c r="C541" t="s">
        <v>34</v>
      </c>
      <c r="D541" t="s">
        <v>70</v>
      </c>
      <c r="E541" s="2">
        <v>0</v>
      </c>
      <c r="F541">
        <v>0</v>
      </c>
      <c r="G541">
        <v>0</v>
      </c>
      <c r="H541">
        <v>0</v>
      </c>
      <c r="I541" t="s">
        <v>32</v>
      </c>
      <c r="J541">
        <v>0</v>
      </c>
      <c r="M541" t="s">
        <v>48</v>
      </c>
      <c r="N541">
        <v>0</v>
      </c>
      <c r="R541" t="s">
        <v>55</v>
      </c>
      <c r="S541">
        <v>0</v>
      </c>
    </row>
    <row r="542" spans="1:19" x14ac:dyDescent="0.25">
      <c r="A542" t="s">
        <v>68</v>
      </c>
      <c r="B542">
        <v>6</v>
      </c>
      <c r="C542" t="s">
        <v>34</v>
      </c>
      <c r="D542" t="s">
        <v>70</v>
      </c>
      <c r="E542" s="2">
        <v>0</v>
      </c>
      <c r="F542">
        <v>0</v>
      </c>
      <c r="G542">
        <v>0</v>
      </c>
      <c r="H542">
        <v>0</v>
      </c>
      <c r="I542" t="s">
        <v>32</v>
      </c>
      <c r="J542">
        <v>0</v>
      </c>
      <c r="M542" t="s">
        <v>48</v>
      </c>
      <c r="N542">
        <v>6</v>
      </c>
      <c r="R542" t="s">
        <v>55</v>
      </c>
      <c r="S542">
        <v>0</v>
      </c>
    </row>
    <row r="543" spans="1:19" x14ac:dyDescent="0.25">
      <c r="A543" t="s">
        <v>68</v>
      </c>
      <c r="B543">
        <v>6</v>
      </c>
      <c r="C543" t="s">
        <v>34</v>
      </c>
      <c r="D543" t="s">
        <v>70</v>
      </c>
      <c r="E543" s="2">
        <v>0</v>
      </c>
      <c r="F543">
        <v>0</v>
      </c>
      <c r="G543">
        <v>0</v>
      </c>
      <c r="H543">
        <v>0</v>
      </c>
      <c r="I543" t="s">
        <v>32</v>
      </c>
      <c r="J543">
        <v>0</v>
      </c>
      <c r="M543" t="s">
        <v>48</v>
      </c>
      <c r="N543">
        <v>49</v>
      </c>
      <c r="R543" t="s">
        <v>55</v>
      </c>
      <c r="S543">
        <v>0</v>
      </c>
    </row>
    <row r="544" spans="1:19" x14ac:dyDescent="0.25">
      <c r="A544" t="s">
        <v>68</v>
      </c>
      <c r="B544">
        <v>6</v>
      </c>
      <c r="C544" t="s">
        <v>34</v>
      </c>
      <c r="D544" t="s">
        <v>70</v>
      </c>
      <c r="E544" s="2">
        <v>0</v>
      </c>
      <c r="F544">
        <v>0</v>
      </c>
      <c r="G544">
        <v>0</v>
      </c>
      <c r="H544">
        <v>0</v>
      </c>
      <c r="I544" t="s">
        <v>32</v>
      </c>
      <c r="J544">
        <v>0</v>
      </c>
      <c r="M544" t="s">
        <v>48</v>
      </c>
      <c r="N544">
        <v>7</v>
      </c>
      <c r="R544" t="s">
        <v>55</v>
      </c>
      <c r="S544">
        <v>6</v>
      </c>
    </row>
    <row r="545" spans="1:19" x14ac:dyDescent="0.25">
      <c r="A545" t="s">
        <v>68</v>
      </c>
      <c r="B545">
        <v>6</v>
      </c>
      <c r="C545" t="s">
        <v>34</v>
      </c>
      <c r="D545" t="s">
        <v>70</v>
      </c>
      <c r="E545" s="2">
        <v>0</v>
      </c>
      <c r="F545">
        <v>0</v>
      </c>
      <c r="G545">
        <v>0</v>
      </c>
      <c r="H545">
        <v>0</v>
      </c>
      <c r="I545" t="s">
        <v>32</v>
      </c>
      <c r="J545">
        <v>0</v>
      </c>
      <c r="M545" t="s">
        <v>48</v>
      </c>
      <c r="N545">
        <v>4</v>
      </c>
      <c r="R545" t="s">
        <v>55</v>
      </c>
      <c r="S545">
        <v>0</v>
      </c>
    </row>
    <row r="546" spans="1:19" x14ac:dyDescent="0.25">
      <c r="A546" t="s">
        <v>68</v>
      </c>
      <c r="B546">
        <v>6</v>
      </c>
      <c r="C546" t="s">
        <v>34</v>
      </c>
      <c r="D546" t="s">
        <v>70</v>
      </c>
      <c r="E546" s="2">
        <v>0</v>
      </c>
      <c r="F546">
        <v>0</v>
      </c>
      <c r="G546">
        <v>0</v>
      </c>
      <c r="H546">
        <v>0</v>
      </c>
      <c r="I546" t="s">
        <v>32</v>
      </c>
      <c r="J546">
        <v>0</v>
      </c>
      <c r="M546" t="s">
        <v>48</v>
      </c>
      <c r="N546">
        <v>5</v>
      </c>
      <c r="R546" t="s">
        <v>55</v>
      </c>
      <c r="S546">
        <v>0</v>
      </c>
    </row>
    <row r="547" spans="1:19" x14ac:dyDescent="0.25">
      <c r="A547" t="s">
        <v>68</v>
      </c>
      <c r="B547">
        <v>6</v>
      </c>
      <c r="C547" t="s">
        <v>34</v>
      </c>
      <c r="D547" t="s">
        <v>70</v>
      </c>
      <c r="E547" s="2">
        <v>0</v>
      </c>
      <c r="F547">
        <v>0</v>
      </c>
      <c r="G547">
        <v>0</v>
      </c>
      <c r="H547">
        <v>0</v>
      </c>
      <c r="I547" t="s">
        <v>32</v>
      </c>
      <c r="J547">
        <v>0</v>
      </c>
      <c r="M547" t="s">
        <v>48</v>
      </c>
      <c r="N547">
        <v>3</v>
      </c>
      <c r="R547" t="s">
        <v>55</v>
      </c>
      <c r="S547">
        <v>13</v>
      </c>
    </row>
    <row r="548" spans="1:19" x14ac:dyDescent="0.25">
      <c r="A548" t="s">
        <v>68</v>
      </c>
      <c r="B548">
        <v>6</v>
      </c>
      <c r="C548" t="s">
        <v>34</v>
      </c>
      <c r="D548" t="s">
        <v>70</v>
      </c>
      <c r="E548" s="2">
        <v>0</v>
      </c>
      <c r="F548">
        <v>0</v>
      </c>
      <c r="G548">
        <v>0</v>
      </c>
      <c r="H548">
        <v>0</v>
      </c>
      <c r="I548" t="s">
        <v>32</v>
      </c>
      <c r="J548">
        <v>0</v>
      </c>
      <c r="M548" t="s">
        <v>48</v>
      </c>
      <c r="N548">
        <v>6</v>
      </c>
      <c r="R548" t="s">
        <v>55</v>
      </c>
      <c r="S548">
        <v>0</v>
      </c>
    </row>
    <row r="549" spans="1:19" x14ac:dyDescent="0.25">
      <c r="A549" t="s">
        <v>68</v>
      </c>
      <c r="B549">
        <v>6</v>
      </c>
      <c r="C549" t="s">
        <v>34</v>
      </c>
      <c r="D549" t="s">
        <v>70</v>
      </c>
      <c r="E549" s="2">
        <v>0</v>
      </c>
      <c r="F549">
        <v>0</v>
      </c>
      <c r="G549">
        <v>0</v>
      </c>
      <c r="H549">
        <v>0</v>
      </c>
      <c r="I549" t="s">
        <v>32</v>
      </c>
      <c r="J549">
        <v>0</v>
      </c>
      <c r="M549" t="s">
        <v>48</v>
      </c>
      <c r="N549">
        <v>0</v>
      </c>
      <c r="R549" t="s">
        <v>55</v>
      </c>
      <c r="S549">
        <v>66</v>
      </c>
    </row>
    <row r="550" spans="1:19" x14ac:dyDescent="0.25">
      <c r="A550" t="s">
        <v>68</v>
      </c>
      <c r="B550">
        <v>6</v>
      </c>
      <c r="C550" t="s">
        <v>34</v>
      </c>
      <c r="D550" t="s">
        <v>70</v>
      </c>
      <c r="E550" s="2">
        <v>0</v>
      </c>
      <c r="F550">
        <v>0</v>
      </c>
      <c r="G550">
        <v>0</v>
      </c>
      <c r="H550">
        <v>0</v>
      </c>
      <c r="I550" t="s">
        <v>32</v>
      </c>
      <c r="J550">
        <v>0</v>
      </c>
      <c r="M550" t="s">
        <v>48</v>
      </c>
      <c r="N550">
        <v>104</v>
      </c>
      <c r="R550" t="s">
        <v>55</v>
      </c>
      <c r="S550">
        <v>12</v>
      </c>
    </row>
    <row r="551" spans="1:19" x14ac:dyDescent="0.25">
      <c r="A551" t="s">
        <v>71</v>
      </c>
      <c r="B551">
        <v>8</v>
      </c>
      <c r="C551" t="s">
        <v>34</v>
      </c>
      <c r="D551" t="s">
        <v>73</v>
      </c>
      <c r="E551" s="2">
        <v>0</v>
      </c>
      <c r="F551">
        <v>0</v>
      </c>
      <c r="G551">
        <v>0</v>
      </c>
      <c r="H551">
        <v>0</v>
      </c>
      <c r="I551" t="s">
        <v>32</v>
      </c>
      <c r="J551">
        <v>0</v>
      </c>
      <c r="M551" t="s">
        <v>48</v>
      </c>
      <c r="N551">
        <v>0</v>
      </c>
      <c r="R551" t="s">
        <v>55</v>
      </c>
      <c r="S551">
        <v>6</v>
      </c>
    </row>
    <row r="552" spans="1:19" x14ac:dyDescent="0.25">
      <c r="A552" t="s">
        <v>71</v>
      </c>
      <c r="B552">
        <v>10</v>
      </c>
      <c r="C552" t="s">
        <v>30</v>
      </c>
      <c r="D552" t="s">
        <v>74</v>
      </c>
      <c r="E552" s="2">
        <v>0</v>
      </c>
      <c r="F552">
        <v>0</v>
      </c>
      <c r="G552">
        <v>0</v>
      </c>
      <c r="H552">
        <v>0</v>
      </c>
      <c r="I552" t="s">
        <v>32</v>
      </c>
      <c r="J552">
        <v>0</v>
      </c>
      <c r="M552" t="s">
        <v>48</v>
      </c>
      <c r="N552">
        <v>15</v>
      </c>
      <c r="R552" t="s">
        <v>55</v>
      </c>
      <c r="S552">
        <v>10</v>
      </c>
    </row>
    <row r="553" spans="1:19" x14ac:dyDescent="0.25">
      <c r="A553" t="s">
        <v>71</v>
      </c>
      <c r="B553">
        <v>10</v>
      </c>
      <c r="C553" t="s">
        <v>30</v>
      </c>
      <c r="D553" t="s">
        <v>74</v>
      </c>
      <c r="E553" s="2">
        <v>0</v>
      </c>
      <c r="F553">
        <v>0</v>
      </c>
      <c r="G553">
        <v>0</v>
      </c>
      <c r="H553">
        <v>0</v>
      </c>
      <c r="I553" t="s">
        <v>32</v>
      </c>
      <c r="J553">
        <v>0</v>
      </c>
      <c r="M553" t="s">
        <v>48</v>
      </c>
      <c r="N553">
        <v>81</v>
      </c>
      <c r="R553" t="s">
        <v>55</v>
      </c>
      <c r="S553">
        <v>37</v>
      </c>
    </row>
    <row r="554" spans="1:19" x14ac:dyDescent="0.25">
      <c r="A554" t="s">
        <v>71</v>
      </c>
      <c r="B554">
        <v>10</v>
      </c>
      <c r="C554" t="s">
        <v>30</v>
      </c>
      <c r="D554" t="s">
        <v>74</v>
      </c>
      <c r="E554" s="2">
        <v>0</v>
      </c>
      <c r="F554">
        <v>0</v>
      </c>
      <c r="G554">
        <v>0</v>
      </c>
      <c r="H554">
        <v>0</v>
      </c>
      <c r="I554" t="s">
        <v>32</v>
      </c>
      <c r="J554">
        <v>0</v>
      </c>
      <c r="M554" t="s">
        <v>48</v>
      </c>
      <c r="N554">
        <v>0</v>
      </c>
      <c r="R554" t="s">
        <v>55</v>
      </c>
      <c r="S554">
        <v>7</v>
      </c>
    </row>
    <row r="555" spans="1:19" x14ac:dyDescent="0.25">
      <c r="A555" t="s">
        <v>71</v>
      </c>
      <c r="B555">
        <v>10</v>
      </c>
      <c r="C555" t="s">
        <v>34</v>
      </c>
      <c r="D555" t="s">
        <v>75</v>
      </c>
      <c r="E555" s="2">
        <v>0</v>
      </c>
      <c r="F555">
        <v>0</v>
      </c>
      <c r="G555">
        <v>0</v>
      </c>
      <c r="H555">
        <v>0</v>
      </c>
      <c r="I555" t="s">
        <v>32</v>
      </c>
      <c r="J555">
        <v>0</v>
      </c>
      <c r="M555" t="s">
        <v>48</v>
      </c>
      <c r="N555">
        <v>64</v>
      </c>
      <c r="R555" t="s">
        <v>55</v>
      </c>
      <c r="S555">
        <v>0</v>
      </c>
    </row>
    <row r="556" spans="1:19" x14ac:dyDescent="0.25">
      <c r="A556" t="s">
        <v>71</v>
      </c>
      <c r="B556">
        <v>10</v>
      </c>
      <c r="C556" t="s">
        <v>34</v>
      </c>
      <c r="D556" t="s">
        <v>75</v>
      </c>
      <c r="E556" s="2">
        <v>0</v>
      </c>
      <c r="F556">
        <v>0</v>
      </c>
      <c r="G556">
        <v>0</v>
      </c>
      <c r="H556">
        <v>0</v>
      </c>
      <c r="I556" t="s">
        <v>32</v>
      </c>
      <c r="J556">
        <v>0</v>
      </c>
      <c r="M556" t="s">
        <v>48</v>
      </c>
      <c r="N556">
        <v>50</v>
      </c>
      <c r="R556" t="s">
        <v>55</v>
      </c>
      <c r="S556">
        <v>57</v>
      </c>
    </row>
    <row r="557" spans="1:19" x14ac:dyDescent="0.25">
      <c r="A557" t="s">
        <v>71</v>
      </c>
      <c r="B557">
        <v>11</v>
      </c>
      <c r="C557" t="s">
        <v>30</v>
      </c>
      <c r="D557" t="s">
        <v>76</v>
      </c>
      <c r="E557" s="2">
        <v>0</v>
      </c>
      <c r="F557">
        <v>0</v>
      </c>
      <c r="G557">
        <v>0</v>
      </c>
      <c r="H557">
        <v>0</v>
      </c>
      <c r="I557" t="s">
        <v>32</v>
      </c>
      <c r="J557">
        <v>0</v>
      </c>
      <c r="M557" t="s">
        <v>48</v>
      </c>
      <c r="N557">
        <v>38</v>
      </c>
      <c r="R557" t="s">
        <v>55</v>
      </c>
      <c r="S557">
        <v>0</v>
      </c>
    </row>
    <row r="558" spans="1:19" x14ac:dyDescent="0.25">
      <c r="A558" t="s">
        <v>71</v>
      </c>
      <c r="B558">
        <v>11</v>
      </c>
      <c r="C558" t="s">
        <v>30</v>
      </c>
      <c r="D558" t="s">
        <v>76</v>
      </c>
      <c r="E558" s="2">
        <v>0</v>
      </c>
      <c r="F558">
        <v>0</v>
      </c>
      <c r="G558">
        <v>0</v>
      </c>
      <c r="H558">
        <v>0</v>
      </c>
      <c r="I558" t="s">
        <v>32</v>
      </c>
      <c r="J558">
        <v>0</v>
      </c>
      <c r="M558" t="s">
        <v>48</v>
      </c>
      <c r="N558">
        <v>148</v>
      </c>
      <c r="R558" t="s">
        <v>55</v>
      </c>
      <c r="S558">
        <v>4</v>
      </c>
    </row>
    <row r="559" spans="1:19" x14ac:dyDescent="0.25">
      <c r="A559" t="s">
        <v>71</v>
      </c>
      <c r="B559">
        <v>11</v>
      </c>
      <c r="C559" t="s">
        <v>34</v>
      </c>
      <c r="D559" t="s">
        <v>77</v>
      </c>
      <c r="E559" s="2">
        <v>0</v>
      </c>
      <c r="F559">
        <v>0</v>
      </c>
      <c r="G559">
        <v>0</v>
      </c>
      <c r="H559">
        <v>0</v>
      </c>
      <c r="I559" t="s">
        <v>32</v>
      </c>
      <c r="J559">
        <v>0</v>
      </c>
      <c r="M559" t="s">
        <v>48</v>
      </c>
      <c r="N559">
        <v>50</v>
      </c>
      <c r="R559" t="s">
        <v>55</v>
      </c>
      <c r="S559">
        <v>0</v>
      </c>
    </row>
    <row r="560" spans="1:19" x14ac:dyDescent="0.25">
      <c r="A560" t="s">
        <v>71</v>
      </c>
      <c r="B560">
        <v>11</v>
      </c>
      <c r="C560" t="s">
        <v>34</v>
      </c>
      <c r="D560" t="s">
        <v>77</v>
      </c>
      <c r="E560" s="2">
        <v>0</v>
      </c>
      <c r="F560">
        <v>0</v>
      </c>
      <c r="G560">
        <v>0</v>
      </c>
      <c r="H560">
        <v>0</v>
      </c>
      <c r="I560" t="s">
        <v>32</v>
      </c>
      <c r="J560">
        <v>0</v>
      </c>
      <c r="M560" t="s">
        <v>48</v>
      </c>
      <c r="N560">
        <v>86</v>
      </c>
      <c r="R560" t="s">
        <v>55</v>
      </c>
      <c r="S560">
        <v>0</v>
      </c>
    </row>
    <row r="561" spans="1:19" x14ac:dyDescent="0.25">
      <c r="A561" t="s">
        <v>71</v>
      </c>
      <c r="B561">
        <v>11</v>
      </c>
      <c r="C561" t="s">
        <v>34</v>
      </c>
      <c r="D561" t="s">
        <v>77</v>
      </c>
      <c r="E561" s="2">
        <v>0</v>
      </c>
      <c r="F561">
        <v>0</v>
      </c>
      <c r="G561">
        <v>0</v>
      </c>
      <c r="H561">
        <v>0</v>
      </c>
      <c r="I561" t="s">
        <v>32</v>
      </c>
      <c r="J561">
        <v>0</v>
      </c>
      <c r="M561" t="s">
        <v>48</v>
      </c>
      <c r="N561">
        <v>82</v>
      </c>
      <c r="R561" t="s">
        <v>55</v>
      </c>
      <c r="S561">
        <v>12</v>
      </c>
    </row>
    <row r="562" spans="1:19" x14ac:dyDescent="0.25">
      <c r="A562" t="s">
        <v>71</v>
      </c>
      <c r="B562">
        <v>11</v>
      </c>
      <c r="C562" t="s">
        <v>34</v>
      </c>
      <c r="D562" t="s">
        <v>77</v>
      </c>
      <c r="E562" s="2">
        <v>0</v>
      </c>
      <c r="F562">
        <v>0</v>
      </c>
      <c r="G562">
        <v>0</v>
      </c>
      <c r="H562">
        <v>0</v>
      </c>
      <c r="I562" t="s">
        <v>32</v>
      </c>
      <c r="J562">
        <v>0</v>
      </c>
      <c r="M562" t="s">
        <v>48</v>
      </c>
      <c r="N562">
        <v>5</v>
      </c>
      <c r="R562" t="s">
        <v>55</v>
      </c>
      <c r="S562">
        <v>17</v>
      </c>
    </row>
    <row r="563" spans="1:19" x14ac:dyDescent="0.25">
      <c r="A563" t="s">
        <v>71</v>
      </c>
      <c r="B563">
        <v>11</v>
      </c>
      <c r="C563" t="s">
        <v>34</v>
      </c>
      <c r="D563" t="s">
        <v>77</v>
      </c>
      <c r="E563" s="2">
        <v>0</v>
      </c>
      <c r="F563">
        <v>0</v>
      </c>
      <c r="G563">
        <v>0</v>
      </c>
      <c r="H563">
        <v>0</v>
      </c>
      <c r="I563" t="s">
        <v>32</v>
      </c>
      <c r="J563">
        <v>0</v>
      </c>
      <c r="M563" t="s">
        <v>48</v>
      </c>
      <c r="N563">
        <v>175</v>
      </c>
      <c r="R563" t="s">
        <v>55</v>
      </c>
      <c r="S563">
        <v>0</v>
      </c>
    </row>
    <row r="564" spans="1:19" x14ac:dyDescent="0.25">
      <c r="A564" t="s">
        <v>71</v>
      </c>
      <c r="B564">
        <v>11</v>
      </c>
      <c r="C564" t="s">
        <v>34</v>
      </c>
      <c r="D564" t="s">
        <v>77</v>
      </c>
      <c r="E564" s="2">
        <v>0</v>
      </c>
      <c r="F564">
        <v>0</v>
      </c>
      <c r="G564">
        <v>0</v>
      </c>
      <c r="H564">
        <v>0</v>
      </c>
      <c r="I564" t="s">
        <v>32</v>
      </c>
      <c r="J564">
        <v>0</v>
      </c>
      <c r="M564" t="s">
        <v>48</v>
      </c>
      <c r="N564">
        <v>7</v>
      </c>
      <c r="R564" t="s">
        <v>55</v>
      </c>
      <c r="S564">
        <v>57</v>
      </c>
    </row>
    <row r="565" spans="1:19" x14ac:dyDescent="0.25">
      <c r="A565" t="s">
        <v>71</v>
      </c>
      <c r="B565">
        <v>11</v>
      </c>
      <c r="C565" t="s">
        <v>34</v>
      </c>
      <c r="D565" t="s">
        <v>77</v>
      </c>
      <c r="E565" s="2">
        <v>0</v>
      </c>
      <c r="F565">
        <v>0</v>
      </c>
      <c r="G565">
        <v>0</v>
      </c>
      <c r="H565">
        <v>0</v>
      </c>
      <c r="I565" t="s">
        <v>32</v>
      </c>
      <c r="J565">
        <v>0</v>
      </c>
      <c r="M565" t="s">
        <v>48</v>
      </c>
      <c r="N565">
        <v>144</v>
      </c>
      <c r="R565" t="s">
        <v>55</v>
      </c>
      <c r="S565">
        <v>198</v>
      </c>
    </row>
    <row r="566" spans="1:19" x14ac:dyDescent="0.25">
      <c r="A566" t="s">
        <v>42</v>
      </c>
      <c r="B566">
        <v>5</v>
      </c>
      <c r="C566" t="s">
        <v>30</v>
      </c>
      <c r="D566" t="s">
        <v>47</v>
      </c>
      <c r="E566" s="2">
        <v>1</v>
      </c>
      <c r="F566">
        <v>0</v>
      </c>
      <c r="G566">
        <v>1</v>
      </c>
      <c r="H566">
        <v>1.4</v>
      </c>
      <c r="I566" t="s">
        <v>32</v>
      </c>
      <c r="J566" s="33" t="s">
        <v>148</v>
      </c>
      <c r="M566" t="s">
        <v>48</v>
      </c>
      <c r="N566">
        <v>98</v>
      </c>
      <c r="R566" t="s">
        <v>55</v>
      </c>
      <c r="S566">
        <v>0</v>
      </c>
    </row>
    <row r="567" spans="1:19" x14ac:dyDescent="0.25">
      <c r="A567" t="s">
        <v>54</v>
      </c>
      <c r="B567">
        <v>4</v>
      </c>
      <c r="C567" t="s">
        <v>34</v>
      </c>
      <c r="D567" t="s">
        <v>62</v>
      </c>
      <c r="E567" s="2">
        <v>2</v>
      </c>
      <c r="F567">
        <v>0</v>
      </c>
      <c r="G567">
        <v>2</v>
      </c>
      <c r="H567">
        <v>6.3</v>
      </c>
      <c r="I567" t="s">
        <v>32</v>
      </c>
      <c r="J567" s="33" t="s">
        <v>148</v>
      </c>
      <c r="M567" t="s">
        <v>48</v>
      </c>
      <c r="N567">
        <v>0</v>
      </c>
      <c r="R567" t="s">
        <v>55</v>
      </c>
      <c r="S567">
        <v>12</v>
      </c>
    </row>
    <row r="568" spans="1:19" x14ac:dyDescent="0.25">
      <c r="A568" t="s">
        <v>29</v>
      </c>
      <c r="B568">
        <v>1</v>
      </c>
      <c r="C568" t="s">
        <v>34</v>
      </c>
      <c r="D568" t="s">
        <v>35</v>
      </c>
      <c r="E568" s="2">
        <v>3</v>
      </c>
      <c r="F568">
        <v>3</v>
      </c>
      <c r="G568">
        <v>0</v>
      </c>
      <c r="H568">
        <v>0</v>
      </c>
      <c r="I568" t="s">
        <v>32</v>
      </c>
      <c r="J568" s="33" t="s">
        <v>148</v>
      </c>
      <c r="M568" t="s">
        <v>48</v>
      </c>
      <c r="N568">
        <v>103</v>
      </c>
      <c r="R568" t="s">
        <v>55</v>
      </c>
      <c r="S568">
        <v>53</v>
      </c>
    </row>
    <row r="569" spans="1:19" x14ac:dyDescent="0.25">
      <c r="A569" t="s">
        <v>29</v>
      </c>
      <c r="B569">
        <v>4</v>
      </c>
      <c r="C569" t="s">
        <v>30</v>
      </c>
      <c r="D569" t="s">
        <v>40</v>
      </c>
      <c r="E569" s="2">
        <v>3</v>
      </c>
      <c r="F569">
        <v>0</v>
      </c>
      <c r="G569">
        <v>3</v>
      </c>
      <c r="H569">
        <v>8</v>
      </c>
      <c r="I569" t="s">
        <v>32</v>
      </c>
      <c r="J569" s="33" t="s">
        <v>148</v>
      </c>
      <c r="M569" t="s">
        <v>48</v>
      </c>
      <c r="N569">
        <v>0</v>
      </c>
      <c r="R569" t="s">
        <v>55</v>
      </c>
      <c r="S569">
        <v>28</v>
      </c>
    </row>
    <row r="570" spans="1:19" x14ac:dyDescent="0.25">
      <c r="A570" t="s">
        <v>42</v>
      </c>
      <c r="B570">
        <v>1</v>
      </c>
      <c r="C570" t="s">
        <v>34</v>
      </c>
      <c r="D570" t="s">
        <v>44</v>
      </c>
      <c r="E570" s="2">
        <v>3</v>
      </c>
      <c r="F570">
        <v>0</v>
      </c>
      <c r="G570">
        <v>3</v>
      </c>
      <c r="H570">
        <v>1.1000000000000001</v>
      </c>
      <c r="I570" t="s">
        <v>32</v>
      </c>
      <c r="J570" s="33" t="s">
        <v>148</v>
      </c>
      <c r="M570" t="s">
        <v>48</v>
      </c>
      <c r="N570">
        <v>33</v>
      </c>
      <c r="R570" t="s">
        <v>55</v>
      </c>
      <c r="S570">
        <v>4</v>
      </c>
    </row>
    <row r="571" spans="1:19" x14ac:dyDescent="0.25">
      <c r="A571" t="s">
        <v>42</v>
      </c>
      <c r="B571">
        <v>2</v>
      </c>
      <c r="C571" t="s">
        <v>34</v>
      </c>
      <c r="D571" t="s">
        <v>46</v>
      </c>
      <c r="E571" s="2">
        <v>3</v>
      </c>
      <c r="F571">
        <v>0</v>
      </c>
      <c r="G571">
        <v>3</v>
      </c>
      <c r="H571">
        <v>1.5</v>
      </c>
      <c r="I571" t="s">
        <v>32</v>
      </c>
      <c r="J571" s="33" t="s">
        <v>148</v>
      </c>
      <c r="M571" t="s">
        <v>48</v>
      </c>
      <c r="N571">
        <v>0</v>
      </c>
      <c r="R571" t="s">
        <v>55</v>
      </c>
      <c r="S571">
        <v>6</v>
      </c>
    </row>
    <row r="572" spans="1:19" x14ac:dyDescent="0.25">
      <c r="A572" t="s">
        <v>42</v>
      </c>
      <c r="B572">
        <v>2</v>
      </c>
      <c r="C572" t="s">
        <v>34</v>
      </c>
      <c r="D572" t="s">
        <v>46</v>
      </c>
      <c r="E572" s="2">
        <v>3</v>
      </c>
      <c r="F572">
        <v>3</v>
      </c>
      <c r="G572">
        <v>0</v>
      </c>
      <c r="H572">
        <v>0</v>
      </c>
      <c r="I572" t="s">
        <v>32</v>
      </c>
      <c r="J572" s="33" t="s">
        <v>148</v>
      </c>
      <c r="M572" t="s">
        <v>48</v>
      </c>
      <c r="N572">
        <v>0</v>
      </c>
      <c r="R572" t="s">
        <v>55</v>
      </c>
      <c r="S572">
        <v>0</v>
      </c>
    </row>
    <row r="573" spans="1:19" x14ac:dyDescent="0.25">
      <c r="A573" t="s">
        <v>42</v>
      </c>
      <c r="B573">
        <v>2</v>
      </c>
      <c r="C573" t="s">
        <v>34</v>
      </c>
      <c r="D573" t="s">
        <v>46</v>
      </c>
      <c r="E573" s="2">
        <v>3</v>
      </c>
      <c r="F573">
        <v>0</v>
      </c>
      <c r="G573">
        <v>3</v>
      </c>
      <c r="H573">
        <v>0.3</v>
      </c>
      <c r="I573" t="s">
        <v>32</v>
      </c>
      <c r="J573" s="33" t="s">
        <v>148</v>
      </c>
      <c r="M573" t="s">
        <v>48</v>
      </c>
      <c r="N573">
        <v>0</v>
      </c>
      <c r="R573" t="s">
        <v>55</v>
      </c>
      <c r="S573">
        <v>5</v>
      </c>
    </row>
    <row r="574" spans="1:19" x14ac:dyDescent="0.25">
      <c r="A574" t="s">
        <v>42</v>
      </c>
      <c r="B574">
        <v>5</v>
      </c>
      <c r="C574" t="s">
        <v>34</v>
      </c>
      <c r="D574" t="s">
        <v>48</v>
      </c>
      <c r="E574" s="2">
        <v>3</v>
      </c>
      <c r="F574">
        <v>3</v>
      </c>
      <c r="G574">
        <v>0</v>
      </c>
      <c r="H574">
        <v>0</v>
      </c>
      <c r="I574" t="s">
        <v>32</v>
      </c>
      <c r="J574" s="33" t="s">
        <v>148</v>
      </c>
      <c r="M574" t="s">
        <v>48</v>
      </c>
      <c r="N574">
        <v>7</v>
      </c>
      <c r="R574" t="s">
        <v>55</v>
      </c>
      <c r="S574">
        <v>0</v>
      </c>
    </row>
    <row r="575" spans="1:19" x14ac:dyDescent="0.25">
      <c r="A575" t="s">
        <v>42</v>
      </c>
      <c r="B575">
        <v>4</v>
      </c>
      <c r="C575" t="s">
        <v>30</v>
      </c>
      <c r="D575" t="s">
        <v>51</v>
      </c>
      <c r="E575" s="2">
        <v>3</v>
      </c>
      <c r="F575">
        <v>3</v>
      </c>
      <c r="G575">
        <v>0</v>
      </c>
      <c r="H575">
        <v>0</v>
      </c>
      <c r="I575" t="s">
        <v>32</v>
      </c>
      <c r="J575" s="33" t="s">
        <v>148</v>
      </c>
      <c r="M575" t="s">
        <v>48</v>
      </c>
      <c r="N575">
        <v>0</v>
      </c>
      <c r="R575" t="s">
        <v>55</v>
      </c>
      <c r="S575">
        <v>28</v>
      </c>
    </row>
    <row r="576" spans="1:19" x14ac:dyDescent="0.25">
      <c r="A576" t="s">
        <v>42</v>
      </c>
      <c r="B576">
        <v>4</v>
      </c>
      <c r="C576" t="s">
        <v>30</v>
      </c>
      <c r="D576" t="s">
        <v>51</v>
      </c>
      <c r="E576" s="2">
        <v>3</v>
      </c>
      <c r="F576">
        <v>0</v>
      </c>
      <c r="G576">
        <v>3</v>
      </c>
      <c r="H576">
        <v>7.4</v>
      </c>
      <c r="I576" t="s">
        <v>32</v>
      </c>
      <c r="J576" s="33" t="s">
        <v>148</v>
      </c>
      <c r="M576" t="s">
        <v>48</v>
      </c>
      <c r="N576">
        <v>10</v>
      </c>
      <c r="R576" t="s">
        <v>55</v>
      </c>
      <c r="S576">
        <v>0</v>
      </c>
    </row>
    <row r="577" spans="1:19" x14ac:dyDescent="0.25">
      <c r="A577" t="s">
        <v>52</v>
      </c>
      <c r="B577">
        <v>4</v>
      </c>
      <c r="C577" t="s">
        <v>34</v>
      </c>
      <c r="D577" t="s">
        <v>53</v>
      </c>
      <c r="E577" s="2">
        <v>3</v>
      </c>
      <c r="F577">
        <v>3</v>
      </c>
      <c r="G577">
        <v>0</v>
      </c>
      <c r="H577">
        <v>0</v>
      </c>
      <c r="I577" t="s">
        <v>32</v>
      </c>
      <c r="J577" s="33" t="s">
        <v>148</v>
      </c>
      <c r="M577" t="s">
        <v>48</v>
      </c>
      <c r="N577">
        <v>0</v>
      </c>
      <c r="R577" t="s">
        <v>55</v>
      </c>
      <c r="S577">
        <v>15</v>
      </c>
    </row>
    <row r="578" spans="1:19" x14ac:dyDescent="0.25">
      <c r="A578" t="s">
        <v>52</v>
      </c>
      <c r="B578">
        <v>4</v>
      </c>
      <c r="C578" t="s">
        <v>34</v>
      </c>
      <c r="D578" t="s">
        <v>53</v>
      </c>
      <c r="E578" s="2">
        <v>3</v>
      </c>
      <c r="F578">
        <v>0</v>
      </c>
      <c r="G578">
        <v>3</v>
      </c>
      <c r="H578">
        <v>5.9</v>
      </c>
      <c r="I578" t="s">
        <v>32</v>
      </c>
      <c r="J578" s="33" t="s">
        <v>148</v>
      </c>
      <c r="M578" t="s">
        <v>48</v>
      </c>
      <c r="N578">
        <v>7</v>
      </c>
      <c r="R578" t="s">
        <v>55</v>
      </c>
      <c r="S578">
        <v>5</v>
      </c>
    </row>
    <row r="579" spans="1:19" x14ac:dyDescent="0.25">
      <c r="A579" t="s">
        <v>54</v>
      </c>
      <c r="B579">
        <v>1</v>
      </c>
      <c r="C579" t="s">
        <v>30</v>
      </c>
      <c r="D579" t="s">
        <v>55</v>
      </c>
      <c r="E579" s="2">
        <v>3</v>
      </c>
      <c r="F579">
        <v>3</v>
      </c>
      <c r="G579">
        <v>0</v>
      </c>
      <c r="H579">
        <v>0</v>
      </c>
      <c r="I579" t="s">
        <v>32</v>
      </c>
      <c r="J579" s="33" t="s">
        <v>148</v>
      </c>
      <c r="M579" t="s">
        <v>48</v>
      </c>
      <c r="N579">
        <v>0</v>
      </c>
      <c r="R579" t="s">
        <v>55</v>
      </c>
      <c r="S579">
        <v>3</v>
      </c>
    </row>
    <row r="580" spans="1:19" x14ac:dyDescent="0.25">
      <c r="A580" t="s">
        <v>54</v>
      </c>
      <c r="B580">
        <v>4</v>
      </c>
      <c r="C580" t="s">
        <v>30</v>
      </c>
      <c r="D580" t="s">
        <v>61</v>
      </c>
      <c r="E580" s="2">
        <v>3</v>
      </c>
      <c r="F580">
        <v>3</v>
      </c>
      <c r="G580">
        <v>0</v>
      </c>
      <c r="H580">
        <v>0</v>
      </c>
      <c r="I580" t="s">
        <v>32</v>
      </c>
      <c r="J580" s="33" t="s">
        <v>148</v>
      </c>
      <c r="M580" t="s">
        <v>48</v>
      </c>
      <c r="N580">
        <v>0</v>
      </c>
      <c r="R580" t="s">
        <v>55</v>
      </c>
      <c r="S580">
        <v>12</v>
      </c>
    </row>
    <row r="581" spans="1:19" x14ac:dyDescent="0.25">
      <c r="A581" t="s">
        <v>54</v>
      </c>
      <c r="B581">
        <v>4</v>
      </c>
      <c r="C581" t="s">
        <v>30</v>
      </c>
      <c r="D581" t="s">
        <v>61</v>
      </c>
      <c r="E581" s="2">
        <v>3</v>
      </c>
      <c r="F581">
        <v>3</v>
      </c>
      <c r="G581">
        <v>0</v>
      </c>
      <c r="H581">
        <v>0</v>
      </c>
      <c r="I581" t="s">
        <v>32</v>
      </c>
      <c r="J581" s="33" t="s">
        <v>148</v>
      </c>
      <c r="M581" t="s">
        <v>48</v>
      </c>
      <c r="N581">
        <v>0</v>
      </c>
      <c r="R581" t="s">
        <v>55</v>
      </c>
      <c r="S581">
        <v>103</v>
      </c>
    </row>
    <row r="582" spans="1:19" x14ac:dyDescent="0.25">
      <c r="A582" t="s">
        <v>54</v>
      </c>
      <c r="B582">
        <v>4</v>
      </c>
      <c r="C582" t="s">
        <v>30</v>
      </c>
      <c r="D582" t="s">
        <v>61</v>
      </c>
      <c r="E582" s="2">
        <v>3</v>
      </c>
      <c r="F582">
        <v>0</v>
      </c>
      <c r="G582">
        <v>3</v>
      </c>
      <c r="H582">
        <v>4</v>
      </c>
      <c r="I582" t="s">
        <v>32</v>
      </c>
      <c r="J582" s="33" t="s">
        <v>148</v>
      </c>
      <c r="M582" t="s">
        <v>48</v>
      </c>
      <c r="N582">
        <v>54</v>
      </c>
      <c r="R582" t="s">
        <v>55</v>
      </c>
      <c r="S582">
        <v>8</v>
      </c>
    </row>
    <row r="583" spans="1:19" x14ac:dyDescent="0.25">
      <c r="A583" t="s">
        <v>54</v>
      </c>
      <c r="B583">
        <v>4</v>
      </c>
      <c r="C583" t="s">
        <v>34</v>
      </c>
      <c r="D583" t="s">
        <v>62</v>
      </c>
      <c r="E583" s="2">
        <v>3</v>
      </c>
      <c r="F583">
        <v>3</v>
      </c>
      <c r="G583">
        <v>0</v>
      </c>
      <c r="H583">
        <v>0</v>
      </c>
      <c r="I583" t="s">
        <v>32</v>
      </c>
      <c r="J583" s="33" t="s">
        <v>148</v>
      </c>
      <c r="M583" t="s">
        <v>48</v>
      </c>
      <c r="N583">
        <v>0</v>
      </c>
      <c r="R583" t="s">
        <v>55</v>
      </c>
      <c r="S583">
        <v>26</v>
      </c>
    </row>
    <row r="584" spans="1:19" x14ac:dyDescent="0.25">
      <c r="A584" t="s">
        <v>63</v>
      </c>
      <c r="B584">
        <v>5</v>
      </c>
      <c r="C584" t="s">
        <v>34</v>
      </c>
      <c r="D584" t="s">
        <v>65</v>
      </c>
      <c r="E584" s="2">
        <v>3</v>
      </c>
      <c r="F584">
        <v>0</v>
      </c>
      <c r="G584">
        <v>3</v>
      </c>
      <c r="H584">
        <v>2.4</v>
      </c>
      <c r="I584" t="s">
        <v>32</v>
      </c>
      <c r="J584" s="33" t="s">
        <v>148</v>
      </c>
      <c r="M584" t="s">
        <v>48</v>
      </c>
      <c r="N584">
        <v>118</v>
      </c>
      <c r="R584" t="s">
        <v>55</v>
      </c>
      <c r="S584">
        <v>37</v>
      </c>
    </row>
    <row r="585" spans="1:19" x14ac:dyDescent="0.25">
      <c r="A585" t="s">
        <v>63</v>
      </c>
      <c r="B585">
        <v>5</v>
      </c>
      <c r="C585" t="s">
        <v>34</v>
      </c>
      <c r="D585" t="s">
        <v>65</v>
      </c>
      <c r="E585" s="2">
        <v>3</v>
      </c>
      <c r="F585">
        <v>3</v>
      </c>
      <c r="G585">
        <v>0</v>
      </c>
      <c r="H585">
        <v>0</v>
      </c>
      <c r="I585" t="s">
        <v>32</v>
      </c>
      <c r="J585" s="33" t="s">
        <v>148</v>
      </c>
      <c r="M585" t="s">
        <v>48</v>
      </c>
      <c r="N585">
        <v>0</v>
      </c>
      <c r="R585" t="s">
        <v>55</v>
      </c>
      <c r="S585">
        <v>77</v>
      </c>
    </row>
    <row r="586" spans="1:19" x14ac:dyDescent="0.25">
      <c r="A586" t="s">
        <v>63</v>
      </c>
      <c r="B586">
        <v>5</v>
      </c>
      <c r="C586" t="s">
        <v>34</v>
      </c>
      <c r="D586" t="s">
        <v>65</v>
      </c>
      <c r="E586" s="2">
        <v>3</v>
      </c>
      <c r="F586">
        <v>3</v>
      </c>
      <c r="G586">
        <v>0</v>
      </c>
      <c r="H586">
        <v>0</v>
      </c>
      <c r="I586" t="s">
        <v>32</v>
      </c>
      <c r="J586" s="33" t="s">
        <v>148</v>
      </c>
      <c r="M586" t="s">
        <v>48</v>
      </c>
      <c r="N586">
        <v>14</v>
      </c>
      <c r="R586" t="s">
        <v>55</v>
      </c>
      <c r="S586">
        <v>14</v>
      </c>
    </row>
    <row r="587" spans="1:19" x14ac:dyDescent="0.25">
      <c r="A587" t="s">
        <v>68</v>
      </c>
      <c r="B587">
        <v>6</v>
      </c>
      <c r="C587" t="s">
        <v>34</v>
      </c>
      <c r="D587" t="s">
        <v>70</v>
      </c>
      <c r="E587" s="2">
        <v>3</v>
      </c>
      <c r="F587">
        <v>0</v>
      </c>
      <c r="G587">
        <v>3</v>
      </c>
      <c r="H587">
        <v>5.0999999999999996</v>
      </c>
      <c r="I587" t="s">
        <v>32</v>
      </c>
      <c r="J587" s="33" t="s">
        <v>148</v>
      </c>
      <c r="M587" t="s">
        <v>48</v>
      </c>
      <c r="N587">
        <v>0</v>
      </c>
      <c r="R587" t="s">
        <v>55</v>
      </c>
      <c r="S587">
        <v>124</v>
      </c>
    </row>
    <row r="588" spans="1:19" x14ac:dyDescent="0.25">
      <c r="A588" t="s">
        <v>71</v>
      </c>
      <c r="B588">
        <v>10</v>
      </c>
      <c r="C588" t="s">
        <v>34</v>
      </c>
      <c r="D588" t="s">
        <v>75</v>
      </c>
      <c r="E588" s="2">
        <v>3</v>
      </c>
      <c r="F588">
        <v>3</v>
      </c>
      <c r="G588">
        <v>0</v>
      </c>
      <c r="H588">
        <v>0</v>
      </c>
      <c r="I588" t="s">
        <v>32</v>
      </c>
      <c r="J588" s="33" t="s">
        <v>148</v>
      </c>
      <c r="M588" t="s">
        <v>48</v>
      </c>
      <c r="N588">
        <v>13</v>
      </c>
      <c r="R588" t="s">
        <v>55</v>
      </c>
      <c r="S588">
        <v>70</v>
      </c>
    </row>
    <row r="589" spans="1:19" x14ac:dyDescent="0.25">
      <c r="A589" t="s">
        <v>29</v>
      </c>
      <c r="B589">
        <v>1</v>
      </c>
      <c r="C589" t="s">
        <v>34</v>
      </c>
      <c r="D589" t="s">
        <v>35</v>
      </c>
      <c r="E589" s="2">
        <v>4</v>
      </c>
      <c r="F589">
        <v>0</v>
      </c>
      <c r="G589">
        <v>4</v>
      </c>
      <c r="H589">
        <v>3.6</v>
      </c>
      <c r="I589" t="s">
        <v>32</v>
      </c>
      <c r="J589" s="33" t="s">
        <v>148</v>
      </c>
      <c r="M589" t="s">
        <v>48</v>
      </c>
      <c r="N589">
        <v>35</v>
      </c>
      <c r="R589" t="s">
        <v>55</v>
      </c>
      <c r="S589">
        <v>0</v>
      </c>
    </row>
    <row r="590" spans="1:19" x14ac:dyDescent="0.25">
      <c r="A590" t="s">
        <v>29</v>
      </c>
      <c r="B590">
        <v>1</v>
      </c>
      <c r="C590" t="s">
        <v>34</v>
      </c>
      <c r="D590" t="s">
        <v>35</v>
      </c>
      <c r="E590" s="2">
        <v>4</v>
      </c>
      <c r="F590">
        <v>4</v>
      </c>
      <c r="G590">
        <v>0</v>
      </c>
      <c r="H590">
        <v>0</v>
      </c>
      <c r="I590" t="s">
        <v>32</v>
      </c>
      <c r="J590" s="33" t="s">
        <v>148</v>
      </c>
      <c r="M590" t="s">
        <v>48</v>
      </c>
      <c r="N590">
        <v>33</v>
      </c>
      <c r="R590" t="s">
        <v>55</v>
      </c>
      <c r="S590">
        <v>0</v>
      </c>
    </row>
    <row r="591" spans="1:19" x14ac:dyDescent="0.25">
      <c r="A591" t="s">
        <v>29</v>
      </c>
      <c r="B591">
        <v>1</v>
      </c>
      <c r="C591" t="s">
        <v>34</v>
      </c>
      <c r="D591" t="s">
        <v>35</v>
      </c>
      <c r="E591" s="2">
        <v>4</v>
      </c>
      <c r="F591">
        <v>0</v>
      </c>
      <c r="G591">
        <v>4</v>
      </c>
      <c r="H591">
        <v>2</v>
      </c>
      <c r="I591" t="s">
        <v>32</v>
      </c>
      <c r="J591" s="33" t="s">
        <v>148</v>
      </c>
      <c r="M591" t="s">
        <v>48</v>
      </c>
      <c r="N591">
        <v>0</v>
      </c>
      <c r="R591" t="s">
        <v>55</v>
      </c>
      <c r="S591">
        <v>47</v>
      </c>
    </row>
    <row r="592" spans="1:19" x14ac:dyDescent="0.25">
      <c r="A592" t="s">
        <v>29</v>
      </c>
      <c r="B592">
        <v>1</v>
      </c>
      <c r="C592" t="s">
        <v>34</v>
      </c>
      <c r="D592" t="s">
        <v>35</v>
      </c>
      <c r="E592" s="2">
        <v>4</v>
      </c>
      <c r="F592">
        <v>0</v>
      </c>
      <c r="G592">
        <v>4</v>
      </c>
      <c r="H592">
        <v>1.3</v>
      </c>
      <c r="I592" t="s">
        <v>32</v>
      </c>
      <c r="J592" s="33" t="s">
        <v>148</v>
      </c>
      <c r="M592" t="s">
        <v>48</v>
      </c>
      <c r="N592">
        <v>0</v>
      </c>
      <c r="R592" t="s">
        <v>55</v>
      </c>
      <c r="S592">
        <v>0</v>
      </c>
    </row>
    <row r="593" spans="1:19" x14ac:dyDescent="0.25">
      <c r="A593" t="s">
        <v>29</v>
      </c>
      <c r="B593">
        <v>2</v>
      </c>
      <c r="C593" t="s">
        <v>30</v>
      </c>
      <c r="D593" t="s">
        <v>36</v>
      </c>
      <c r="E593" s="2">
        <v>4</v>
      </c>
      <c r="F593">
        <v>4</v>
      </c>
      <c r="G593">
        <v>0</v>
      </c>
      <c r="H593">
        <v>0</v>
      </c>
      <c r="I593" t="s">
        <v>32</v>
      </c>
      <c r="J593" s="33" t="s">
        <v>148</v>
      </c>
      <c r="M593" t="s">
        <v>48</v>
      </c>
      <c r="N593">
        <v>48</v>
      </c>
      <c r="R593" t="s">
        <v>55</v>
      </c>
      <c r="S593">
        <v>8</v>
      </c>
    </row>
    <row r="594" spans="1:19" x14ac:dyDescent="0.25">
      <c r="A594" t="s">
        <v>29</v>
      </c>
      <c r="B594">
        <v>2</v>
      </c>
      <c r="C594" t="s">
        <v>30</v>
      </c>
      <c r="D594" t="s">
        <v>36</v>
      </c>
      <c r="E594" s="2">
        <v>4</v>
      </c>
      <c r="F594">
        <v>4</v>
      </c>
      <c r="G594">
        <v>0</v>
      </c>
      <c r="H594">
        <v>0</v>
      </c>
      <c r="I594" t="s">
        <v>32</v>
      </c>
      <c r="J594" s="33" t="s">
        <v>148</v>
      </c>
      <c r="M594" t="s">
        <v>48</v>
      </c>
      <c r="N594">
        <v>0</v>
      </c>
      <c r="R594" t="s">
        <v>61</v>
      </c>
      <c r="S594">
        <v>39</v>
      </c>
    </row>
    <row r="595" spans="1:19" x14ac:dyDescent="0.25">
      <c r="A595" t="s">
        <v>29</v>
      </c>
      <c r="B595">
        <v>2</v>
      </c>
      <c r="C595" t="s">
        <v>30</v>
      </c>
      <c r="D595" t="s">
        <v>36</v>
      </c>
      <c r="E595" s="2">
        <v>4</v>
      </c>
      <c r="F595">
        <v>4</v>
      </c>
      <c r="G595">
        <v>0</v>
      </c>
      <c r="H595">
        <v>0</v>
      </c>
      <c r="I595" t="s">
        <v>32</v>
      </c>
      <c r="J595" s="33" t="s">
        <v>148</v>
      </c>
      <c r="M595" t="s">
        <v>48</v>
      </c>
      <c r="N595">
        <v>64</v>
      </c>
      <c r="R595" t="s">
        <v>61</v>
      </c>
      <c r="S595">
        <v>50</v>
      </c>
    </row>
    <row r="596" spans="1:19" x14ac:dyDescent="0.25">
      <c r="A596" t="s">
        <v>29</v>
      </c>
      <c r="B596">
        <v>2</v>
      </c>
      <c r="C596" t="s">
        <v>30</v>
      </c>
      <c r="D596" t="s">
        <v>36</v>
      </c>
      <c r="E596" s="2">
        <v>4</v>
      </c>
      <c r="F596">
        <v>0</v>
      </c>
      <c r="G596">
        <v>4</v>
      </c>
      <c r="H596">
        <v>4</v>
      </c>
      <c r="I596" t="s">
        <v>32</v>
      </c>
      <c r="J596" s="33" t="s">
        <v>148</v>
      </c>
      <c r="M596" t="s">
        <v>48</v>
      </c>
      <c r="N596">
        <v>0</v>
      </c>
      <c r="R596" t="s">
        <v>61</v>
      </c>
      <c r="S596">
        <v>11</v>
      </c>
    </row>
    <row r="597" spans="1:19" x14ac:dyDescent="0.25">
      <c r="A597" t="s">
        <v>29</v>
      </c>
      <c r="B597">
        <v>3</v>
      </c>
      <c r="C597" t="s">
        <v>30</v>
      </c>
      <c r="D597" t="s">
        <v>38</v>
      </c>
      <c r="E597" s="2">
        <v>4</v>
      </c>
      <c r="F597">
        <v>0</v>
      </c>
      <c r="G597">
        <v>4</v>
      </c>
      <c r="H597">
        <v>5.2</v>
      </c>
      <c r="I597" t="s">
        <v>32</v>
      </c>
      <c r="J597" s="33" t="s">
        <v>148</v>
      </c>
      <c r="M597" t="s">
        <v>48</v>
      </c>
      <c r="N597">
        <v>87</v>
      </c>
      <c r="R597" t="s">
        <v>61</v>
      </c>
      <c r="S597">
        <v>0</v>
      </c>
    </row>
    <row r="598" spans="1:19" x14ac:dyDescent="0.25">
      <c r="A598" t="s">
        <v>29</v>
      </c>
      <c r="B598">
        <v>3</v>
      </c>
      <c r="C598" t="s">
        <v>30</v>
      </c>
      <c r="D598" t="s">
        <v>38</v>
      </c>
      <c r="E598" s="2">
        <v>4</v>
      </c>
      <c r="F598">
        <v>0</v>
      </c>
      <c r="G598">
        <v>4</v>
      </c>
      <c r="H598">
        <v>6.5</v>
      </c>
      <c r="I598" t="s">
        <v>32</v>
      </c>
      <c r="J598" s="33" t="s">
        <v>148</v>
      </c>
      <c r="M598" t="s">
        <v>48</v>
      </c>
      <c r="N598">
        <v>68</v>
      </c>
      <c r="R598" t="s">
        <v>61</v>
      </c>
      <c r="S598">
        <v>53</v>
      </c>
    </row>
    <row r="599" spans="1:19" x14ac:dyDescent="0.25">
      <c r="A599" t="s">
        <v>29</v>
      </c>
      <c r="B599">
        <v>3</v>
      </c>
      <c r="C599" t="s">
        <v>30</v>
      </c>
      <c r="D599" t="s">
        <v>38</v>
      </c>
      <c r="E599" s="2">
        <v>4</v>
      </c>
      <c r="F599">
        <v>0</v>
      </c>
      <c r="G599">
        <v>4</v>
      </c>
      <c r="H599">
        <v>3.4</v>
      </c>
      <c r="I599" t="s">
        <v>32</v>
      </c>
      <c r="J599" s="33" t="s">
        <v>148</v>
      </c>
      <c r="M599" t="s">
        <v>48</v>
      </c>
      <c r="N599">
        <v>83</v>
      </c>
      <c r="R599" t="s">
        <v>61</v>
      </c>
      <c r="S599">
        <v>112</v>
      </c>
    </row>
    <row r="600" spans="1:19" x14ac:dyDescent="0.25">
      <c r="A600" t="s">
        <v>29</v>
      </c>
      <c r="B600">
        <v>3</v>
      </c>
      <c r="C600" t="s">
        <v>34</v>
      </c>
      <c r="D600" t="s">
        <v>39</v>
      </c>
      <c r="E600" s="2">
        <v>4</v>
      </c>
      <c r="F600">
        <v>0</v>
      </c>
      <c r="G600">
        <v>4</v>
      </c>
      <c r="H600">
        <v>5.5</v>
      </c>
      <c r="I600" t="s">
        <v>32</v>
      </c>
      <c r="J600" s="33" t="s">
        <v>148</v>
      </c>
      <c r="M600" t="s">
        <v>48</v>
      </c>
      <c r="N600">
        <v>0</v>
      </c>
      <c r="R600" t="s">
        <v>61</v>
      </c>
      <c r="S600">
        <v>4</v>
      </c>
    </row>
    <row r="601" spans="1:19" x14ac:dyDescent="0.25">
      <c r="A601" t="s">
        <v>29</v>
      </c>
      <c r="B601">
        <v>4</v>
      </c>
      <c r="C601" t="s">
        <v>30</v>
      </c>
      <c r="D601" t="s">
        <v>40</v>
      </c>
      <c r="E601" s="2">
        <v>4</v>
      </c>
      <c r="F601">
        <v>0</v>
      </c>
      <c r="G601">
        <v>4</v>
      </c>
      <c r="H601">
        <v>4.2</v>
      </c>
      <c r="I601" t="s">
        <v>32</v>
      </c>
      <c r="J601" s="33" t="s">
        <v>148</v>
      </c>
      <c r="M601" t="s">
        <v>48</v>
      </c>
      <c r="N601">
        <v>81</v>
      </c>
      <c r="R601" t="s">
        <v>61</v>
      </c>
      <c r="S601">
        <v>0</v>
      </c>
    </row>
    <row r="602" spans="1:19" x14ac:dyDescent="0.25">
      <c r="A602" t="s">
        <v>29</v>
      </c>
      <c r="B602">
        <v>4</v>
      </c>
      <c r="C602" t="s">
        <v>30</v>
      </c>
      <c r="D602" t="s">
        <v>40</v>
      </c>
      <c r="E602" s="2">
        <v>4</v>
      </c>
      <c r="F602">
        <v>0</v>
      </c>
      <c r="G602">
        <v>4</v>
      </c>
      <c r="H602">
        <v>8</v>
      </c>
      <c r="I602" t="s">
        <v>32</v>
      </c>
      <c r="J602" s="33" t="s">
        <v>148</v>
      </c>
      <c r="M602" t="s">
        <v>48</v>
      </c>
      <c r="N602">
        <v>72</v>
      </c>
      <c r="R602" t="s">
        <v>61</v>
      </c>
      <c r="S602">
        <v>0</v>
      </c>
    </row>
    <row r="603" spans="1:19" x14ac:dyDescent="0.25">
      <c r="A603" t="s">
        <v>29</v>
      </c>
      <c r="B603">
        <v>4</v>
      </c>
      <c r="C603" t="s">
        <v>30</v>
      </c>
      <c r="D603" t="s">
        <v>40</v>
      </c>
      <c r="E603" s="2">
        <v>4</v>
      </c>
      <c r="F603">
        <v>0</v>
      </c>
      <c r="G603">
        <v>4</v>
      </c>
      <c r="H603">
        <v>8.6999999999999993</v>
      </c>
      <c r="I603" t="s">
        <v>32</v>
      </c>
      <c r="J603" s="33" t="s">
        <v>148</v>
      </c>
      <c r="M603" t="s">
        <v>48</v>
      </c>
      <c r="N603">
        <v>34</v>
      </c>
      <c r="R603" t="s">
        <v>61</v>
      </c>
      <c r="S603">
        <v>107</v>
      </c>
    </row>
    <row r="604" spans="1:19" x14ac:dyDescent="0.25">
      <c r="A604" t="s">
        <v>42</v>
      </c>
      <c r="B604">
        <v>1</v>
      </c>
      <c r="C604" t="s">
        <v>30</v>
      </c>
      <c r="D604" t="s">
        <v>43</v>
      </c>
      <c r="E604" s="2">
        <v>4</v>
      </c>
      <c r="F604">
        <v>0</v>
      </c>
      <c r="G604">
        <v>4</v>
      </c>
      <c r="H604">
        <v>1.7</v>
      </c>
      <c r="I604" t="s">
        <v>32</v>
      </c>
      <c r="J604" s="33" t="s">
        <v>148</v>
      </c>
      <c r="M604" t="s">
        <v>48</v>
      </c>
      <c r="N604">
        <v>52</v>
      </c>
      <c r="R604" t="s">
        <v>61</v>
      </c>
      <c r="S604">
        <v>0</v>
      </c>
    </row>
    <row r="605" spans="1:19" x14ac:dyDescent="0.25">
      <c r="A605" t="s">
        <v>42</v>
      </c>
      <c r="B605">
        <v>1</v>
      </c>
      <c r="C605" t="s">
        <v>34</v>
      </c>
      <c r="D605" t="s">
        <v>44</v>
      </c>
      <c r="E605" s="2">
        <v>4</v>
      </c>
      <c r="F605">
        <v>0</v>
      </c>
      <c r="G605">
        <v>4</v>
      </c>
      <c r="H605">
        <v>2.1</v>
      </c>
      <c r="I605" t="s">
        <v>32</v>
      </c>
      <c r="J605" s="33" t="s">
        <v>148</v>
      </c>
      <c r="M605" t="s">
        <v>48</v>
      </c>
      <c r="N605">
        <v>11</v>
      </c>
      <c r="R605" t="s">
        <v>61</v>
      </c>
      <c r="S605">
        <v>0</v>
      </c>
    </row>
    <row r="606" spans="1:19" x14ac:dyDescent="0.25">
      <c r="A606" t="s">
        <v>42</v>
      </c>
      <c r="B606">
        <v>1</v>
      </c>
      <c r="C606" t="s">
        <v>34</v>
      </c>
      <c r="D606" t="s">
        <v>44</v>
      </c>
      <c r="E606" s="2">
        <v>4</v>
      </c>
      <c r="F606">
        <v>4</v>
      </c>
      <c r="G606">
        <v>0</v>
      </c>
      <c r="H606">
        <v>0</v>
      </c>
      <c r="I606" t="s">
        <v>32</v>
      </c>
      <c r="J606" s="33" t="s">
        <v>148</v>
      </c>
      <c r="M606" t="s">
        <v>48</v>
      </c>
      <c r="N606">
        <v>72</v>
      </c>
      <c r="R606" t="s">
        <v>61</v>
      </c>
      <c r="S606">
        <v>0</v>
      </c>
    </row>
    <row r="607" spans="1:19" x14ac:dyDescent="0.25">
      <c r="A607" t="s">
        <v>42</v>
      </c>
      <c r="B607">
        <v>2</v>
      </c>
      <c r="C607" t="s">
        <v>34</v>
      </c>
      <c r="D607" t="s">
        <v>46</v>
      </c>
      <c r="E607" s="2">
        <v>4</v>
      </c>
      <c r="F607">
        <v>0</v>
      </c>
      <c r="G607">
        <v>4</v>
      </c>
      <c r="H607">
        <v>2</v>
      </c>
      <c r="I607" t="s">
        <v>32</v>
      </c>
      <c r="J607" s="33" t="s">
        <v>148</v>
      </c>
      <c r="M607" t="s">
        <v>48</v>
      </c>
      <c r="N607">
        <v>0</v>
      </c>
      <c r="R607" t="s">
        <v>61</v>
      </c>
      <c r="S607">
        <v>55</v>
      </c>
    </row>
    <row r="608" spans="1:19" x14ac:dyDescent="0.25">
      <c r="A608" t="s">
        <v>42</v>
      </c>
      <c r="B608">
        <v>2</v>
      </c>
      <c r="C608" t="s">
        <v>34</v>
      </c>
      <c r="D608" t="s">
        <v>46</v>
      </c>
      <c r="E608" s="2">
        <v>4</v>
      </c>
      <c r="F608">
        <v>4</v>
      </c>
      <c r="G608">
        <v>0</v>
      </c>
      <c r="H608">
        <v>0</v>
      </c>
      <c r="I608" t="s">
        <v>32</v>
      </c>
      <c r="J608" s="33" t="s">
        <v>148</v>
      </c>
      <c r="M608" t="s">
        <v>48</v>
      </c>
      <c r="N608">
        <v>8</v>
      </c>
      <c r="R608" t="s">
        <v>61</v>
      </c>
      <c r="S608">
        <v>0</v>
      </c>
    </row>
    <row r="609" spans="1:19" x14ac:dyDescent="0.25">
      <c r="A609" t="s">
        <v>42</v>
      </c>
      <c r="B609">
        <v>2</v>
      </c>
      <c r="C609" t="s">
        <v>34</v>
      </c>
      <c r="D609" t="s">
        <v>46</v>
      </c>
      <c r="E609" s="2">
        <v>4</v>
      </c>
      <c r="F609">
        <v>4</v>
      </c>
      <c r="G609">
        <v>0</v>
      </c>
      <c r="H609">
        <v>0</v>
      </c>
      <c r="I609" t="s">
        <v>32</v>
      </c>
      <c r="J609" s="33" t="s">
        <v>148</v>
      </c>
      <c r="M609" t="s">
        <v>48</v>
      </c>
      <c r="N609">
        <v>27</v>
      </c>
      <c r="R609" t="s">
        <v>61</v>
      </c>
      <c r="S609">
        <v>24</v>
      </c>
    </row>
    <row r="610" spans="1:19" x14ac:dyDescent="0.25">
      <c r="A610" t="s">
        <v>42</v>
      </c>
      <c r="B610">
        <v>2</v>
      </c>
      <c r="C610" t="s">
        <v>34</v>
      </c>
      <c r="D610" t="s">
        <v>46</v>
      </c>
      <c r="E610" s="2">
        <v>4</v>
      </c>
      <c r="F610">
        <v>0</v>
      </c>
      <c r="G610">
        <v>4</v>
      </c>
      <c r="H610">
        <v>1.5</v>
      </c>
      <c r="I610" t="s">
        <v>32</v>
      </c>
      <c r="J610" s="33" t="s">
        <v>148</v>
      </c>
      <c r="M610" t="s">
        <v>48</v>
      </c>
      <c r="N610">
        <v>0</v>
      </c>
      <c r="R610" t="s">
        <v>61</v>
      </c>
      <c r="S610">
        <v>33</v>
      </c>
    </row>
    <row r="611" spans="1:19" x14ac:dyDescent="0.25">
      <c r="A611" t="s">
        <v>42</v>
      </c>
      <c r="B611">
        <v>5</v>
      </c>
      <c r="C611" t="s">
        <v>34</v>
      </c>
      <c r="D611" t="s">
        <v>48</v>
      </c>
      <c r="E611" s="2">
        <v>4</v>
      </c>
      <c r="F611">
        <v>4</v>
      </c>
      <c r="G611">
        <v>0</v>
      </c>
      <c r="H611">
        <v>0</v>
      </c>
      <c r="I611" t="s">
        <v>32</v>
      </c>
      <c r="J611" s="33" t="s">
        <v>148</v>
      </c>
      <c r="M611" t="s">
        <v>48</v>
      </c>
      <c r="N611">
        <v>0</v>
      </c>
      <c r="R611" t="s">
        <v>61</v>
      </c>
      <c r="S611">
        <v>52</v>
      </c>
    </row>
    <row r="612" spans="1:19" x14ac:dyDescent="0.25">
      <c r="A612" t="s">
        <v>42</v>
      </c>
      <c r="B612">
        <v>3</v>
      </c>
      <c r="C612" t="s">
        <v>30</v>
      </c>
      <c r="D612" t="s">
        <v>49</v>
      </c>
      <c r="E612" s="2">
        <v>4</v>
      </c>
      <c r="F612">
        <v>4</v>
      </c>
      <c r="G612">
        <v>0</v>
      </c>
      <c r="H612">
        <v>0</v>
      </c>
      <c r="I612" t="s">
        <v>32</v>
      </c>
      <c r="J612" s="33" t="s">
        <v>148</v>
      </c>
      <c r="M612" t="s">
        <v>48</v>
      </c>
      <c r="N612">
        <v>114</v>
      </c>
      <c r="R612" t="s">
        <v>61</v>
      </c>
      <c r="S612">
        <v>88</v>
      </c>
    </row>
    <row r="613" spans="1:19" x14ac:dyDescent="0.25">
      <c r="A613" t="s">
        <v>42</v>
      </c>
      <c r="B613">
        <v>3</v>
      </c>
      <c r="C613" t="s">
        <v>30</v>
      </c>
      <c r="D613" t="s">
        <v>49</v>
      </c>
      <c r="E613" s="2">
        <v>4</v>
      </c>
      <c r="F613">
        <v>4</v>
      </c>
      <c r="G613">
        <v>0</v>
      </c>
      <c r="H613">
        <v>0</v>
      </c>
      <c r="I613" t="s">
        <v>32</v>
      </c>
      <c r="J613" s="33" t="s">
        <v>148</v>
      </c>
      <c r="M613" t="s">
        <v>48</v>
      </c>
      <c r="N613">
        <v>8</v>
      </c>
      <c r="R613" t="s">
        <v>61</v>
      </c>
      <c r="S613">
        <v>47</v>
      </c>
    </row>
    <row r="614" spans="1:19" x14ac:dyDescent="0.25">
      <c r="A614" t="s">
        <v>42</v>
      </c>
      <c r="B614">
        <v>3</v>
      </c>
      <c r="C614" t="s">
        <v>30</v>
      </c>
      <c r="D614" t="s">
        <v>49</v>
      </c>
      <c r="E614" s="2">
        <v>4</v>
      </c>
      <c r="F614">
        <v>0</v>
      </c>
      <c r="G614">
        <v>4</v>
      </c>
      <c r="H614">
        <v>10.3</v>
      </c>
      <c r="I614" t="s">
        <v>32</v>
      </c>
      <c r="J614" s="33" t="s">
        <v>148</v>
      </c>
      <c r="M614" t="s">
        <v>48</v>
      </c>
      <c r="N614">
        <v>0</v>
      </c>
      <c r="R614" t="s">
        <v>61</v>
      </c>
      <c r="S614">
        <v>43</v>
      </c>
    </row>
    <row r="615" spans="1:19" x14ac:dyDescent="0.25">
      <c r="A615" t="s">
        <v>42</v>
      </c>
      <c r="B615">
        <v>3</v>
      </c>
      <c r="C615" t="s">
        <v>34</v>
      </c>
      <c r="D615" t="s">
        <v>50</v>
      </c>
      <c r="E615" s="2">
        <v>4</v>
      </c>
      <c r="F615">
        <v>0</v>
      </c>
      <c r="G615">
        <v>4</v>
      </c>
      <c r="H615">
        <v>3.6</v>
      </c>
      <c r="I615" t="s">
        <v>32</v>
      </c>
      <c r="J615" s="33" t="s">
        <v>148</v>
      </c>
      <c r="M615" t="s">
        <v>48</v>
      </c>
      <c r="N615">
        <v>8</v>
      </c>
      <c r="R615" t="s">
        <v>61</v>
      </c>
      <c r="S615">
        <v>42</v>
      </c>
    </row>
    <row r="616" spans="1:19" x14ac:dyDescent="0.25">
      <c r="A616" t="s">
        <v>42</v>
      </c>
      <c r="B616">
        <v>3</v>
      </c>
      <c r="C616" t="s">
        <v>34</v>
      </c>
      <c r="D616" t="s">
        <v>50</v>
      </c>
      <c r="E616" s="2">
        <v>4</v>
      </c>
      <c r="F616">
        <v>4</v>
      </c>
      <c r="G616">
        <v>0</v>
      </c>
      <c r="H616">
        <v>0</v>
      </c>
      <c r="I616" t="s">
        <v>32</v>
      </c>
      <c r="J616" s="33" t="s">
        <v>148</v>
      </c>
      <c r="M616" t="s">
        <v>48</v>
      </c>
      <c r="N616">
        <v>0</v>
      </c>
      <c r="R616" t="s">
        <v>61</v>
      </c>
      <c r="S616">
        <v>95</v>
      </c>
    </row>
    <row r="617" spans="1:19" x14ac:dyDescent="0.25">
      <c r="A617" t="s">
        <v>42</v>
      </c>
      <c r="B617">
        <v>3</v>
      </c>
      <c r="C617" t="s">
        <v>34</v>
      </c>
      <c r="D617" t="s">
        <v>50</v>
      </c>
      <c r="E617" s="2">
        <v>4</v>
      </c>
      <c r="F617">
        <v>4</v>
      </c>
      <c r="G617">
        <v>0</v>
      </c>
      <c r="H617">
        <v>0</v>
      </c>
      <c r="I617" t="s">
        <v>32</v>
      </c>
      <c r="J617" s="33" t="s">
        <v>148</v>
      </c>
      <c r="M617" t="s">
        <v>50</v>
      </c>
      <c r="N617">
        <v>0</v>
      </c>
      <c r="R617" t="s">
        <v>61</v>
      </c>
      <c r="S617">
        <v>102</v>
      </c>
    </row>
    <row r="618" spans="1:19" x14ac:dyDescent="0.25">
      <c r="A618" t="s">
        <v>42</v>
      </c>
      <c r="B618">
        <v>3</v>
      </c>
      <c r="C618" t="s">
        <v>34</v>
      </c>
      <c r="D618" t="s">
        <v>50</v>
      </c>
      <c r="E618" s="2">
        <v>4</v>
      </c>
      <c r="F618">
        <v>0</v>
      </c>
      <c r="G618">
        <v>4</v>
      </c>
      <c r="H618">
        <v>5.6</v>
      </c>
      <c r="I618" t="s">
        <v>32</v>
      </c>
      <c r="J618" s="33" t="s">
        <v>148</v>
      </c>
      <c r="M618" t="s">
        <v>50</v>
      </c>
      <c r="N618">
        <v>6</v>
      </c>
      <c r="R618" t="s">
        <v>61</v>
      </c>
      <c r="S618">
        <v>6</v>
      </c>
    </row>
    <row r="619" spans="1:19" x14ac:dyDescent="0.25">
      <c r="A619" t="s">
        <v>42</v>
      </c>
      <c r="B619">
        <v>4</v>
      </c>
      <c r="C619" t="s">
        <v>30</v>
      </c>
      <c r="D619" t="s">
        <v>51</v>
      </c>
      <c r="E619" s="2">
        <v>4</v>
      </c>
      <c r="F619">
        <v>4</v>
      </c>
      <c r="G619">
        <v>0</v>
      </c>
      <c r="H619">
        <v>0</v>
      </c>
      <c r="I619" t="s">
        <v>32</v>
      </c>
      <c r="J619" s="33" t="s">
        <v>148</v>
      </c>
      <c r="M619" t="s">
        <v>50</v>
      </c>
      <c r="N619">
        <v>60</v>
      </c>
      <c r="R619" t="s">
        <v>61</v>
      </c>
      <c r="S619">
        <v>0</v>
      </c>
    </row>
    <row r="620" spans="1:19" x14ac:dyDescent="0.25">
      <c r="A620" t="s">
        <v>42</v>
      </c>
      <c r="B620">
        <v>4</v>
      </c>
      <c r="C620" t="s">
        <v>30</v>
      </c>
      <c r="D620" t="s">
        <v>51</v>
      </c>
      <c r="E620" s="2">
        <v>4</v>
      </c>
      <c r="F620">
        <v>4</v>
      </c>
      <c r="G620">
        <v>0</v>
      </c>
      <c r="H620">
        <v>0</v>
      </c>
      <c r="I620" t="s">
        <v>32</v>
      </c>
      <c r="J620" s="33" t="s">
        <v>148</v>
      </c>
      <c r="M620" t="s">
        <v>50</v>
      </c>
      <c r="N620">
        <v>74</v>
      </c>
      <c r="R620" t="s">
        <v>61</v>
      </c>
      <c r="S620">
        <v>118</v>
      </c>
    </row>
    <row r="621" spans="1:19" x14ac:dyDescent="0.25">
      <c r="A621" t="s">
        <v>54</v>
      </c>
      <c r="B621">
        <v>1</v>
      </c>
      <c r="C621" t="s">
        <v>30</v>
      </c>
      <c r="D621" t="s">
        <v>55</v>
      </c>
      <c r="E621" s="2">
        <v>4</v>
      </c>
      <c r="F621">
        <v>0</v>
      </c>
      <c r="G621">
        <v>4</v>
      </c>
      <c r="H621">
        <v>11</v>
      </c>
      <c r="I621" t="s">
        <v>32</v>
      </c>
      <c r="J621" s="33" t="s">
        <v>148</v>
      </c>
      <c r="M621" t="s">
        <v>50</v>
      </c>
      <c r="N621">
        <v>90</v>
      </c>
      <c r="R621" t="s">
        <v>61</v>
      </c>
      <c r="S621">
        <v>8</v>
      </c>
    </row>
    <row r="622" spans="1:19" x14ac:dyDescent="0.25">
      <c r="A622" t="s">
        <v>54</v>
      </c>
      <c r="B622">
        <v>1</v>
      </c>
      <c r="C622" t="s">
        <v>30</v>
      </c>
      <c r="D622" t="s">
        <v>55</v>
      </c>
      <c r="E622" s="2">
        <v>4</v>
      </c>
      <c r="F622">
        <v>4</v>
      </c>
      <c r="G622">
        <v>0</v>
      </c>
      <c r="H622">
        <v>0</v>
      </c>
      <c r="I622" t="s">
        <v>32</v>
      </c>
      <c r="J622" s="33" t="s">
        <v>148</v>
      </c>
      <c r="M622" t="s">
        <v>50</v>
      </c>
      <c r="N622">
        <v>117</v>
      </c>
      <c r="R622" t="s">
        <v>61</v>
      </c>
      <c r="S622">
        <v>49</v>
      </c>
    </row>
    <row r="623" spans="1:19" x14ac:dyDescent="0.25">
      <c r="A623" t="s">
        <v>54</v>
      </c>
      <c r="B623">
        <v>4</v>
      </c>
      <c r="C623" t="s">
        <v>30</v>
      </c>
      <c r="D623" t="s">
        <v>61</v>
      </c>
      <c r="E623" s="2">
        <v>4</v>
      </c>
      <c r="F623">
        <v>0</v>
      </c>
      <c r="G623">
        <v>4</v>
      </c>
      <c r="H623">
        <v>3.4</v>
      </c>
      <c r="I623" t="s">
        <v>32</v>
      </c>
      <c r="J623" s="33" t="s">
        <v>148</v>
      </c>
      <c r="M623" t="s">
        <v>50</v>
      </c>
      <c r="N623">
        <v>28</v>
      </c>
      <c r="R623" t="s">
        <v>61</v>
      </c>
      <c r="S623">
        <v>4</v>
      </c>
    </row>
    <row r="624" spans="1:19" x14ac:dyDescent="0.25">
      <c r="A624" t="s">
        <v>54</v>
      </c>
      <c r="B624">
        <v>4</v>
      </c>
      <c r="C624" t="s">
        <v>30</v>
      </c>
      <c r="D624" t="s">
        <v>61</v>
      </c>
      <c r="E624" s="2">
        <v>4</v>
      </c>
      <c r="F624">
        <v>4</v>
      </c>
      <c r="G624">
        <v>0</v>
      </c>
      <c r="H624">
        <v>0</v>
      </c>
      <c r="I624" t="s">
        <v>32</v>
      </c>
      <c r="J624" s="33" t="s">
        <v>148</v>
      </c>
      <c r="M624" t="s">
        <v>50</v>
      </c>
      <c r="N624">
        <v>77</v>
      </c>
      <c r="R624" t="s">
        <v>61</v>
      </c>
      <c r="S624">
        <v>17</v>
      </c>
    </row>
    <row r="625" spans="1:19" x14ac:dyDescent="0.25">
      <c r="A625" t="s">
        <v>54</v>
      </c>
      <c r="B625">
        <v>4</v>
      </c>
      <c r="C625" t="s">
        <v>30</v>
      </c>
      <c r="D625" t="s">
        <v>61</v>
      </c>
      <c r="E625" s="2">
        <v>4</v>
      </c>
      <c r="F625">
        <v>4</v>
      </c>
      <c r="G625">
        <v>0</v>
      </c>
      <c r="H625">
        <v>0</v>
      </c>
      <c r="I625" t="s">
        <v>32</v>
      </c>
      <c r="J625" s="33" t="s">
        <v>148</v>
      </c>
      <c r="M625" t="s">
        <v>50</v>
      </c>
      <c r="N625">
        <v>114</v>
      </c>
      <c r="R625" t="s">
        <v>61</v>
      </c>
      <c r="S625">
        <v>36</v>
      </c>
    </row>
    <row r="626" spans="1:19" x14ac:dyDescent="0.25">
      <c r="A626" t="s">
        <v>54</v>
      </c>
      <c r="B626">
        <v>4</v>
      </c>
      <c r="C626" t="s">
        <v>34</v>
      </c>
      <c r="D626" t="s">
        <v>62</v>
      </c>
      <c r="E626" s="2">
        <v>4</v>
      </c>
      <c r="F626">
        <v>4</v>
      </c>
      <c r="G626">
        <v>0</v>
      </c>
      <c r="H626">
        <v>0</v>
      </c>
      <c r="I626" t="s">
        <v>32</v>
      </c>
      <c r="J626" s="33" t="s">
        <v>148</v>
      </c>
      <c r="M626" t="s">
        <v>50</v>
      </c>
      <c r="N626">
        <v>14</v>
      </c>
      <c r="R626" t="s">
        <v>61</v>
      </c>
      <c r="S626">
        <v>43</v>
      </c>
    </row>
    <row r="627" spans="1:19" x14ac:dyDescent="0.25">
      <c r="A627" t="s">
        <v>54</v>
      </c>
      <c r="B627">
        <v>4</v>
      </c>
      <c r="C627" t="s">
        <v>34</v>
      </c>
      <c r="D627" t="s">
        <v>62</v>
      </c>
      <c r="E627" s="2">
        <v>4</v>
      </c>
      <c r="F627">
        <v>4</v>
      </c>
      <c r="G627">
        <v>0</v>
      </c>
      <c r="H627">
        <v>0</v>
      </c>
      <c r="I627" t="s">
        <v>32</v>
      </c>
      <c r="J627" s="33" t="s">
        <v>148</v>
      </c>
      <c r="M627" t="s">
        <v>50</v>
      </c>
      <c r="N627">
        <v>94</v>
      </c>
      <c r="R627" t="s">
        <v>61</v>
      </c>
      <c r="S627">
        <v>50</v>
      </c>
    </row>
    <row r="628" spans="1:19" x14ac:dyDescent="0.25">
      <c r="A628" t="s">
        <v>63</v>
      </c>
      <c r="B628">
        <v>5</v>
      </c>
      <c r="C628" t="s">
        <v>34</v>
      </c>
      <c r="D628" t="s">
        <v>65</v>
      </c>
      <c r="E628" s="2">
        <v>4</v>
      </c>
      <c r="F628">
        <v>4</v>
      </c>
      <c r="G628">
        <v>0</v>
      </c>
      <c r="H628">
        <v>0</v>
      </c>
      <c r="I628" t="s">
        <v>32</v>
      </c>
      <c r="J628" s="33" t="s">
        <v>148</v>
      </c>
      <c r="M628" t="s">
        <v>50</v>
      </c>
      <c r="N628">
        <v>57</v>
      </c>
      <c r="R628" t="s">
        <v>61</v>
      </c>
      <c r="S628">
        <v>6</v>
      </c>
    </row>
    <row r="629" spans="1:19" x14ac:dyDescent="0.25">
      <c r="A629" t="s">
        <v>63</v>
      </c>
      <c r="B629">
        <v>5</v>
      </c>
      <c r="C629" t="s">
        <v>34</v>
      </c>
      <c r="D629" t="s">
        <v>65</v>
      </c>
      <c r="E629" s="2">
        <v>4</v>
      </c>
      <c r="F629">
        <v>0</v>
      </c>
      <c r="G629">
        <v>4</v>
      </c>
      <c r="H629">
        <v>2.7</v>
      </c>
      <c r="I629" t="s">
        <v>32</v>
      </c>
      <c r="J629" s="33" t="s">
        <v>148</v>
      </c>
      <c r="M629" t="s">
        <v>50</v>
      </c>
      <c r="N629">
        <v>114</v>
      </c>
      <c r="R629" t="s">
        <v>61</v>
      </c>
      <c r="S629">
        <v>0</v>
      </c>
    </row>
    <row r="630" spans="1:19" x14ac:dyDescent="0.25">
      <c r="A630" t="s">
        <v>63</v>
      </c>
      <c r="B630">
        <v>5</v>
      </c>
      <c r="C630" t="s">
        <v>34</v>
      </c>
      <c r="D630" t="s">
        <v>65</v>
      </c>
      <c r="E630" s="2">
        <v>4</v>
      </c>
      <c r="F630">
        <v>0</v>
      </c>
      <c r="G630">
        <v>4</v>
      </c>
      <c r="H630">
        <v>4.5999999999999996</v>
      </c>
      <c r="I630" t="s">
        <v>32</v>
      </c>
      <c r="J630" s="33" t="s">
        <v>148</v>
      </c>
      <c r="M630" t="s">
        <v>50</v>
      </c>
      <c r="N630">
        <v>0</v>
      </c>
      <c r="R630" t="s">
        <v>61</v>
      </c>
      <c r="S630">
        <v>73</v>
      </c>
    </row>
    <row r="631" spans="1:19" x14ac:dyDescent="0.25">
      <c r="A631" t="s">
        <v>63</v>
      </c>
      <c r="B631">
        <v>5</v>
      </c>
      <c r="C631" t="s">
        <v>34</v>
      </c>
      <c r="D631" t="s">
        <v>65</v>
      </c>
      <c r="E631" s="2">
        <v>4</v>
      </c>
      <c r="F631">
        <v>4</v>
      </c>
      <c r="G631">
        <v>0</v>
      </c>
      <c r="H631">
        <v>0</v>
      </c>
      <c r="I631" t="s">
        <v>32</v>
      </c>
      <c r="J631" s="33" t="s">
        <v>148</v>
      </c>
      <c r="M631" t="s">
        <v>50</v>
      </c>
      <c r="N631">
        <v>63</v>
      </c>
      <c r="R631" t="s">
        <v>61</v>
      </c>
      <c r="S631">
        <v>0</v>
      </c>
    </row>
    <row r="632" spans="1:19" x14ac:dyDescent="0.25">
      <c r="A632" t="s">
        <v>63</v>
      </c>
      <c r="B632">
        <v>1</v>
      </c>
      <c r="C632" t="s">
        <v>34</v>
      </c>
      <c r="D632" t="s">
        <v>67</v>
      </c>
      <c r="E632" s="2">
        <v>4</v>
      </c>
      <c r="F632">
        <v>4</v>
      </c>
      <c r="G632">
        <v>0</v>
      </c>
      <c r="H632">
        <v>0</v>
      </c>
      <c r="I632" t="s">
        <v>32</v>
      </c>
      <c r="J632" s="33" t="s">
        <v>148</v>
      </c>
      <c r="M632" t="s">
        <v>50</v>
      </c>
      <c r="N632">
        <v>117</v>
      </c>
      <c r="R632" t="s">
        <v>61</v>
      </c>
      <c r="S632">
        <v>0</v>
      </c>
    </row>
    <row r="633" spans="1:19" x14ac:dyDescent="0.25">
      <c r="A633" t="s">
        <v>71</v>
      </c>
      <c r="B633">
        <v>10</v>
      </c>
      <c r="C633" t="s">
        <v>30</v>
      </c>
      <c r="D633" t="s">
        <v>74</v>
      </c>
      <c r="E633" s="2">
        <v>4</v>
      </c>
      <c r="F633">
        <v>0</v>
      </c>
      <c r="G633">
        <v>4</v>
      </c>
      <c r="H633">
        <v>0.3</v>
      </c>
      <c r="I633" t="s">
        <v>32</v>
      </c>
      <c r="J633" s="33" t="s">
        <v>148</v>
      </c>
      <c r="M633" t="s">
        <v>50</v>
      </c>
      <c r="N633">
        <v>69</v>
      </c>
      <c r="R633" t="s">
        <v>61</v>
      </c>
      <c r="S633">
        <v>32</v>
      </c>
    </row>
    <row r="634" spans="1:19" x14ac:dyDescent="0.25">
      <c r="A634" t="s">
        <v>71</v>
      </c>
      <c r="B634">
        <v>11</v>
      </c>
      <c r="C634" t="s">
        <v>34</v>
      </c>
      <c r="D634" t="s">
        <v>77</v>
      </c>
      <c r="E634" s="2">
        <v>4</v>
      </c>
      <c r="F634">
        <v>4</v>
      </c>
      <c r="G634">
        <v>0</v>
      </c>
      <c r="H634">
        <v>0</v>
      </c>
      <c r="I634" t="s">
        <v>32</v>
      </c>
      <c r="J634" s="33" t="s">
        <v>148</v>
      </c>
      <c r="M634" t="s">
        <v>50</v>
      </c>
      <c r="N634">
        <v>117</v>
      </c>
      <c r="R634" t="s">
        <v>61</v>
      </c>
      <c r="S634">
        <v>0</v>
      </c>
    </row>
    <row r="635" spans="1:19" x14ac:dyDescent="0.25">
      <c r="A635" t="s">
        <v>29</v>
      </c>
      <c r="B635">
        <v>1</v>
      </c>
      <c r="C635" t="s">
        <v>30</v>
      </c>
      <c r="D635" t="s">
        <v>31</v>
      </c>
      <c r="E635" s="2">
        <v>5</v>
      </c>
      <c r="F635">
        <v>0</v>
      </c>
      <c r="G635">
        <v>5</v>
      </c>
      <c r="H635">
        <v>7.4</v>
      </c>
      <c r="I635" t="s">
        <v>32</v>
      </c>
      <c r="J635" s="33" t="s">
        <v>148</v>
      </c>
      <c r="M635" t="s">
        <v>50</v>
      </c>
      <c r="N635">
        <v>100</v>
      </c>
      <c r="R635" t="s">
        <v>61</v>
      </c>
      <c r="S635">
        <v>8</v>
      </c>
    </row>
    <row r="636" spans="1:19" x14ac:dyDescent="0.25">
      <c r="A636" t="s">
        <v>29</v>
      </c>
      <c r="B636">
        <v>2</v>
      </c>
      <c r="C636" t="s">
        <v>34</v>
      </c>
      <c r="D636" t="s">
        <v>37</v>
      </c>
      <c r="E636" s="2">
        <v>5</v>
      </c>
      <c r="F636">
        <v>0</v>
      </c>
      <c r="G636">
        <v>5</v>
      </c>
      <c r="H636">
        <v>1.5</v>
      </c>
      <c r="I636" t="s">
        <v>32</v>
      </c>
      <c r="J636" s="33" t="s">
        <v>148</v>
      </c>
      <c r="M636" t="s">
        <v>50</v>
      </c>
      <c r="N636">
        <v>9</v>
      </c>
      <c r="R636" t="s">
        <v>61</v>
      </c>
      <c r="S636">
        <v>54</v>
      </c>
    </row>
    <row r="637" spans="1:19" x14ac:dyDescent="0.25">
      <c r="A637" t="s">
        <v>29</v>
      </c>
      <c r="B637">
        <v>3</v>
      </c>
      <c r="C637" t="s">
        <v>30</v>
      </c>
      <c r="D637" t="s">
        <v>38</v>
      </c>
      <c r="E637" s="2">
        <v>5</v>
      </c>
      <c r="F637">
        <v>0</v>
      </c>
      <c r="G637">
        <v>5</v>
      </c>
      <c r="H637">
        <v>8.6</v>
      </c>
      <c r="I637" t="s">
        <v>32</v>
      </c>
      <c r="J637" s="33" t="s">
        <v>148</v>
      </c>
      <c r="M637" t="s">
        <v>50</v>
      </c>
      <c r="N637">
        <v>151</v>
      </c>
      <c r="R637" t="s">
        <v>61</v>
      </c>
      <c r="S637">
        <v>18</v>
      </c>
    </row>
    <row r="638" spans="1:19" x14ac:dyDescent="0.25">
      <c r="A638" t="s">
        <v>29</v>
      </c>
      <c r="B638">
        <v>3</v>
      </c>
      <c r="C638" t="s">
        <v>34</v>
      </c>
      <c r="D638" t="s">
        <v>39</v>
      </c>
      <c r="E638" s="2">
        <v>5</v>
      </c>
      <c r="F638">
        <v>0</v>
      </c>
      <c r="G638">
        <v>5</v>
      </c>
      <c r="H638">
        <v>4.5999999999999996</v>
      </c>
      <c r="I638" t="s">
        <v>32</v>
      </c>
      <c r="J638" s="33" t="s">
        <v>148</v>
      </c>
      <c r="M638" t="s">
        <v>50</v>
      </c>
      <c r="N638">
        <v>83</v>
      </c>
      <c r="R638" t="s">
        <v>61</v>
      </c>
      <c r="S638">
        <v>12</v>
      </c>
    </row>
    <row r="639" spans="1:19" x14ac:dyDescent="0.25">
      <c r="A639" t="s">
        <v>29</v>
      </c>
      <c r="B639">
        <v>4</v>
      </c>
      <c r="C639" t="s">
        <v>30</v>
      </c>
      <c r="D639" t="s">
        <v>40</v>
      </c>
      <c r="E639" s="2">
        <v>5</v>
      </c>
      <c r="F639">
        <v>0</v>
      </c>
      <c r="G639">
        <v>5</v>
      </c>
      <c r="H639">
        <v>8.5</v>
      </c>
      <c r="I639" t="s">
        <v>32</v>
      </c>
      <c r="J639" s="33" t="s">
        <v>148</v>
      </c>
      <c r="M639" t="s">
        <v>50</v>
      </c>
      <c r="N639">
        <v>78</v>
      </c>
      <c r="R639" t="s">
        <v>61</v>
      </c>
      <c r="S639">
        <v>101</v>
      </c>
    </row>
    <row r="640" spans="1:19" x14ac:dyDescent="0.25">
      <c r="A640" t="s">
        <v>29</v>
      </c>
      <c r="B640">
        <v>4</v>
      </c>
      <c r="C640" t="s">
        <v>30</v>
      </c>
      <c r="D640" t="s">
        <v>40</v>
      </c>
      <c r="E640" s="2">
        <v>5</v>
      </c>
      <c r="F640">
        <v>0</v>
      </c>
      <c r="G640">
        <v>5</v>
      </c>
      <c r="H640">
        <v>4.0999999999999996</v>
      </c>
      <c r="I640" t="s">
        <v>32</v>
      </c>
      <c r="J640" s="33" t="s">
        <v>148</v>
      </c>
      <c r="M640" t="s">
        <v>50</v>
      </c>
      <c r="N640">
        <v>57</v>
      </c>
      <c r="R640" t="s">
        <v>61</v>
      </c>
      <c r="S640">
        <v>59</v>
      </c>
    </row>
    <row r="641" spans="1:19" x14ac:dyDescent="0.25">
      <c r="A641" t="s">
        <v>29</v>
      </c>
      <c r="B641">
        <v>4</v>
      </c>
      <c r="C641" t="s">
        <v>30</v>
      </c>
      <c r="D641" t="s">
        <v>40</v>
      </c>
      <c r="E641" s="2">
        <v>5</v>
      </c>
      <c r="F641">
        <v>0</v>
      </c>
      <c r="G641">
        <v>5</v>
      </c>
      <c r="H641">
        <v>5.6</v>
      </c>
      <c r="I641" t="s">
        <v>32</v>
      </c>
      <c r="J641" s="33" t="s">
        <v>148</v>
      </c>
      <c r="M641" t="s">
        <v>50</v>
      </c>
      <c r="N641">
        <v>4</v>
      </c>
      <c r="R641" t="s">
        <v>61</v>
      </c>
      <c r="S641">
        <v>0</v>
      </c>
    </row>
    <row r="642" spans="1:19" x14ac:dyDescent="0.25">
      <c r="A642" t="s">
        <v>42</v>
      </c>
      <c r="B642">
        <v>1</v>
      </c>
      <c r="C642" t="s">
        <v>30</v>
      </c>
      <c r="D642" t="s">
        <v>43</v>
      </c>
      <c r="E642" s="2">
        <v>5</v>
      </c>
      <c r="F642">
        <v>0</v>
      </c>
      <c r="G642">
        <v>5</v>
      </c>
      <c r="H642">
        <v>5</v>
      </c>
      <c r="I642" t="s">
        <v>32</v>
      </c>
      <c r="J642" s="33" t="s">
        <v>148</v>
      </c>
      <c r="M642" t="s">
        <v>50</v>
      </c>
      <c r="N642">
        <v>57</v>
      </c>
      <c r="R642" t="s">
        <v>61</v>
      </c>
      <c r="S642">
        <v>3</v>
      </c>
    </row>
    <row r="643" spans="1:19" x14ac:dyDescent="0.25">
      <c r="A643" t="s">
        <v>42</v>
      </c>
      <c r="B643">
        <v>1</v>
      </c>
      <c r="C643" t="s">
        <v>34</v>
      </c>
      <c r="D643" t="s">
        <v>44</v>
      </c>
      <c r="E643" s="2">
        <v>5</v>
      </c>
      <c r="F643">
        <v>0</v>
      </c>
      <c r="G643">
        <v>5</v>
      </c>
      <c r="H643">
        <v>3.5</v>
      </c>
      <c r="I643" t="s">
        <v>32</v>
      </c>
      <c r="J643" s="33" t="s">
        <v>148</v>
      </c>
      <c r="M643" t="s">
        <v>50</v>
      </c>
      <c r="N643">
        <v>123</v>
      </c>
      <c r="R643" t="s">
        <v>61</v>
      </c>
      <c r="S643">
        <v>39</v>
      </c>
    </row>
    <row r="644" spans="1:19" x14ac:dyDescent="0.25">
      <c r="A644" t="s">
        <v>42</v>
      </c>
      <c r="B644">
        <v>2</v>
      </c>
      <c r="C644" t="s">
        <v>30</v>
      </c>
      <c r="D644" t="s">
        <v>45</v>
      </c>
      <c r="E644" s="2">
        <v>5</v>
      </c>
      <c r="F644">
        <v>0</v>
      </c>
      <c r="G644">
        <v>5</v>
      </c>
      <c r="H644">
        <v>2.5</v>
      </c>
      <c r="I644" t="s">
        <v>32</v>
      </c>
      <c r="J644" s="33" t="s">
        <v>148</v>
      </c>
      <c r="M644" t="s">
        <v>50</v>
      </c>
      <c r="N644">
        <v>12</v>
      </c>
      <c r="R644" t="s">
        <v>61</v>
      </c>
      <c r="S644">
        <v>5</v>
      </c>
    </row>
    <row r="645" spans="1:19" x14ac:dyDescent="0.25">
      <c r="A645" t="s">
        <v>42</v>
      </c>
      <c r="B645">
        <v>2</v>
      </c>
      <c r="C645" t="s">
        <v>34</v>
      </c>
      <c r="D645" t="s">
        <v>46</v>
      </c>
      <c r="E645" s="2">
        <v>5</v>
      </c>
      <c r="F645">
        <v>0</v>
      </c>
      <c r="G645">
        <v>5</v>
      </c>
      <c r="H645">
        <v>1</v>
      </c>
      <c r="I645" t="s">
        <v>32</v>
      </c>
      <c r="J645" s="33" t="s">
        <v>148</v>
      </c>
      <c r="M645" t="s">
        <v>50</v>
      </c>
      <c r="N645">
        <v>102</v>
      </c>
      <c r="R645" t="s">
        <v>61</v>
      </c>
      <c r="S645">
        <v>85</v>
      </c>
    </row>
    <row r="646" spans="1:19" x14ac:dyDescent="0.25">
      <c r="A646" t="s">
        <v>42</v>
      </c>
      <c r="B646">
        <v>2</v>
      </c>
      <c r="C646" t="s">
        <v>34</v>
      </c>
      <c r="D646" t="s">
        <v>46</v>
      </c>
      <c r="E646" s="2">
        <v>5</v>
      </c>
      <c r="F646">
        <v>5</v>
      </c>
      <c r="G646">
        <v>0</v>
      </c>
      <c r="H646">
        <v>0</v>
      </c>
      <c r="I646" t="s">
        <v>32</v>
      </c>
      <c r="J646" s="33" t="s">
        <v>148</v>
      </c>
      <c r="M646" t="s">
        <v>50</v>
      </c>
      <c r="N646">
        <v>92</v>
      </c>
      <c r="R646" t="s">
        <v>61</v>
      </c>
      <c r="S646">
        <v>6</v>
      </c>
    </row>
    <row r="647" spans="1:19" x14ac:dyDescent="0.25">
      <c r="A647" t="s">
        <v>42</v>
      </c>
      <c r="B647">
        <v>2</v>
      </c>
      <c r="C647" t="s">
        <v>34</v>
      </c>
      <c r="D647" t="s">
        <v>46</v>
      </c>
      <c r="E647" s="2">
        <v>5</v>
      </c>
      <c r="F647">
        <v>0</v>
      </c>
      <c r="G647">
        <v>5</v>
      </c>
      <c r="H647">
        <v>2</v>
      </c>
      <c r="I647" t="s">
        <v>32</v>
      </c>
      <c r="J647" s="33" t="s">
        <v>148</v>
      </c>
      <c r="M647" t="s">
        <v>50</v>
      </c>
      <c r="N647">
        <v>88</v>
      </c>
      <c r="R647" t="s">
        <v>61</v>
      </c>
      <c r="S647">
        <v>0</v>
      </c>
    </row>
    <row r="648" spans="1:19" x14ac:dyDescent="0.25">
      <c r="A648" t="s">
        <v>42</v>
      </c>
      <c r="B648">
        <v>2</v>
      </c>
      <c r="C648" t="s">
        <v>34</v>
      </c>
      <c r="D648" t="s">
        <v>46</v>
      </c>
      <c r="E648" s="2">
        <v>5</v>
      </c>
      <c r="F648">
        <v>0</v>
      </c>
      <c r="G648">
        <v>5</v>
      </c>
      <c r="H648">
        <v>0.9</v>
      </c>
      <c r="I648" t="s">
        <v>32</v>
      </c>
      <c r="J648" s="33" t="s">
        <v>148</v>
      </c>
      <c r="M648" t="s">
        <v>50</v>
      </c>
      <c r="N648">
        <v>45</v>
      </c>
      <c r="R648" t="s">
        <v>61</v>
      </c>
      <c r="S648">
        <v>0</v>
      </c>
    </row>
    <row r="649" spans="1:19" x14ac:dyDescent="0.25">
      <c r="A649" t="s">
        <v>42</v>
      </c>
      <c r="B649">
        <v>2</v>
      </c>
      <c r="C649" t="s">
        <v>34</v>
      </c>
      <c r="D649" t="s">
        <v>46</v>
      </c>
      <c r="E649" s="2">
        <v>5</v>
      </c>
      <c r="F649">
        <v>0</v>
      </c>
      <c r="G649">
        <v>5</v>
      </c>
      <c r="H649">
        <v>2</v>
      </c>
      <c r="I649" t="s">
        <v>32</v>
      </c>
      <c r="J649" s="33" t="s">
        <v>148</v>
      </c>
      <c r="M649" t="s">
        <v>50</v>
      </c>
      <c r="N649">
        <v>4</v>
      </c>
      <c r="R649" t="s">
        <v>61</v>
      </c>
      <c r="S649">
        <v>0</v>
      </c>
    </row>
    <row r="650" spans="1:19" x14ac:dyDescent="0.25">
      <c r="A650" t="s">
        <v>42</v>
      </c>
      <c r="B650">
        <v>2</v>
      </c>
      <c r="C650" t="s">
        <v>34</v>
      </c>
      <c r="D650" t="s">
        <v>46</v>
      </c>
      <c r="E650" s="2">
        <v>5</v>
      </c>
      <c r="F650">
        <v>0</v>
      </c>
      <c r="G650">
        <v>5</v>
      </c>
      <c r="H650">
        <v>0.4</v>
      </c>
      <c r="I650" t="s">
        <v>32</v>
      </c>
      <c r="J650" s="33" t="s">
        <v>148</v>
      </c>
      <c r="M650" t="s">
        <v>50</v>
      </c>
      <c r="N650">
        <v>53</v>
      </c>
      <c r="R650" t="s">
        <v>61</v>
      </c>
      <c r="S650">
        <v>0</v>
      </c>
    </row>
    <row r="651" spans="1:19" x14ac:dyDescent="0.25">
      <c r="A651" t="s">
        <v>42</v>
      </c>
      <c r="B651">
        <v>5</v>
      </c>
      <c r="C651" t="s">
        <v>30</v>
      </c>
      <c r="D651" t="s">
        <v>47</v>
      </c>
      <c r="E651" s="2">
        <v>5</v>
      </c>
      <c r="F651">
        <v>0</v>
      </c>
      <c r="G651">
        <v>5</v>
      </c>
      <c r="H651">
        <v>4.4000000000000004</v>
      </c>
      <c r="I651" t="s">
        <v>32</v>
      </c>
      <c r="J651" s="33" t="s">
        <v>148</v>
      </c>
      <c r="M651" t="s">
        <v>50</v>
      </c>
      <c r="N651">
        <v>153</v>
      </c>
      <c r="R651" t="s">
        <v>61</v>
      </c>
      <c r="S651">
        <v>3</v>
      </c>
    </row>
    <row r="652" spans="1:19" x14ac:dyDescent="0.25">
      <c r="A652" t="s">
        <v>42</v>
      </c>
      <c r="B652">
        <v>5</v>
      </c>
      <c r="C652" t="s">
        <v>34</v>
      </c>
      <c r="D652" t="s">
        <v>48</v>
      </c>
      <c r="E652" s="2">
        <v>5</v>
      </c>
      <c r="F652">
        <v>0</v>
      </c>
      <c r="G652">
        <v>5</v>
      </c>
      <c r="H652">
        <v>8.6</v>
      </c>
      <c r="I652" t="s">
        <v>32</v>
      </c>
      <c r="J652" s="33" t="s">
        <v>148</v>
      </c>
      <c r="M652" t="s">
        <v>50</v>
      </c>
      <c r="N652">
        <v>174</v>
      </c>
      <c r="R652" t="s">
        <v>61</v>
      </c>
      <c r="S652">
        <v>45</v>
      </c>
    </row>
    <row r="653" spans="1:19" x14ac:dyDescent="0.25">
      <c r="A653" t="s">
        <v>42</v>
      </c>
      <c r="B653">
        <v>5</v>
      </c>
      <c r="C653" t="s">
        <v>34</v>
      </c>
      <c r="D653" t="s">
        <v>48</v>
      </c>
      <c r="E653" s="2">
        <v>5</v>
      </c>
      <c r="F653">
        <v>5</v>
      </c>
      <c r="G653">
        <v>0</v>
      </c>
      <c r="H653">
        <v>0</v>
      </c>
      <c r="I653" t="s">
        <v>32</v>
      </c>
      <c r="J653" s="33" t="s">
        <v>148</v>
      </c>
      <c r="M653" t="s">
        <v>50</v>
      </c>
      <c r="N653">
        <v>76</v>
      </c>
      <c r="R653" t="s">
        <v>61</v>
      </c>
      <c r="S653">
        <v>0</v>
      </c>
    </row>
    <row r="654" spans="1:19" x14ac:dyDescent="0.25">
      <c r="A654" t="s">
        <v>42</v>
      </c>
      <c r="B654">
        <v>3</v>
      </c>
      <c r="C654" t="s">
        <v>30</v>
      </c>
      <c r="D654" t="s">
        <v>49</v>
      </c>
      <c r="E654" s="2">
        <v>5</v>
      </c>
      <c r="F654">
        <v>0</v>
      </c>
      <c r="G654">
        <v>5</v>
      </c>
      <c r="H654">
        <v>0.5</v>
      </c>
      <c r="I654" t="s">
        <v>32</v>
      </c>
      <c r="J654" s="33" t="s">
        <v>148</v>
      </c>
      <c r="M654" t="s">
        <v>50</v>
      </c>
      <c r="N654">
        <v>4</v>
      </c>
      <c r="R654" t="s">
        <v>61</v>
      </c>
      <c r="S654">
        <v>0</v>
      </c>
    </row>
    <row r="655" spans="1:19" x14ac:dyDescent="0.25">
      <c r="A655" t="s">
        <v>42</v>
      </c>
      <c r="B655">
        <v>3</v>
      </c>
      <c r="C655" t="s">
        <v>30</v>
      </c>
      <c r="D655" t="s">
        <v>49</v>
      </c>
      <c r="E655" s="2">
        <v>5</v>
      </c>
      <c r="F655">
        <v>0</v>
      </c>
      <c r="G655">
        <v>5</v>
      </c>
      <c r="H655">
        <v>7.2</v>
      </c>
      <c r="I655" t="s">
        <v>32</v>
      </c>
      <c r="J655" s="33" t="s">
        <v>148</v>
      </c>
      <c r="M655" t="s">
        <v>50</v>
      </c>
      <c r="N655">
        <v>62</v>
      </c>
      <c r="R655" t="s">
        <v>61</v>
      </c>
      <c r="S655">
        <v>7</v>
      </c>
    </row>
    <row r="656" spans="1:19" x14ac:dyDescent="0.25">
      <c r="A656" t="s">
        <v>42</v>
      </c>
      <c r="B656">
        <v>3</v>
      </c>
      <c r="C656" t="s">
        <v>30</v>
      </c>
      <c r="D656" t="s">
        <v>49</v>
      </c>
      <c r="E656" s="2">
        <v>5</v>
      </c>
      <c r="F656">
        <v>0</v>
      </c>
      <c r="G656">
        <v>5</v>
      </c>
      <c r="H656">
        <v>7</v>
      </c>
      <c r="I656" t="s">
        <v>32</v>
      </c>
      <c r="J656" s="33" t="s">
        <v>148</v>
      </c>
      <c r="M656" t="s">
        <v>50</v>
      </c>
      <c r="N656">
        <v>18</v>
      </c>
      <c r="R656" t="s">
        <v>61</v>
      </c>
      <c r="S656">
        <v>0</v>
      </c>
    </row>
    <row r="657" spans="1:19" x14ac:dyDescent="0.25">
      <c r="A657" t="s">
        <v>42</v>
      </c>
      <c r="B657">
        <v>3</v>
      </c>
      <c r="C657" t="s">
        <v>34</v>
      </c>
      <c r="D657" t="s">
        <v>50</v>
      </c>
      <c r="E657" s="2">
        <v>5</v>
      </c>
      <c r="F657">
        <v>0</v>
      </c>
      <c r="G657">
        <v>5</v>
      </c>
      <c r="H657">
        <v>3.5</v>
      </c>
      <c r="I657" t="s">
        <v>32</v>
      </c>
      <c r="J657" s="33" t="s">
        <v>148</v>
      </c>
      <c r="M657" t="s">
        <v>50</v>
      </c>
      <c r="N657">
        <v>37</v>
      </c>
      <c r="R657" t="s">
        <v>61</v>
      </c>
      <c r="S657">
        <v>0</v>
      </c>
    </row>
    <row r="658" spans="1:19" x14ac:dyDescent="0.25">
      <c r="A658" t="s">
        <v>54</v>
      </c>
      <c r="B658">
        <v>1</v>
      </c>
      <c r="C658" t="s">
        <v>30</v>
      </c>
      <c r="D658" t="s">
        <v>55</v>
      </c>
      <c r="E658" s="2">
        <v>5</v>
      </c>
      <c r="F658">
        <v>0</v>
      </c>
      <c r="G658">
        <v>5</v>
      </c>
      <c r="H658">
        <v>1.3</v>
      </c>
      <c r="I658" t="s">
        <v>32</v>
      </c>
      <c r="J658" s="33" t="s">
        <v>148</v>
      </c>
      <c r="M658" t="s">
        <v>50</v>
      </c>
      <c r="N658">
        <v>0</v>
      </c>
      <c r="R658" t="s">
        <v>61</v>
      </c>
      <c r="S658">
        <v>3</v>
      </c>
    </row>
    <row r="659" spans="1:19" x14ac:dyDescent="0.25">
      <c r="A659" t="s">
        <v>54</v>
      </c>
      <c r="B659">
        <v>1</v>
      </c>
      <c r="C659" t="s">
        <v>30</v>
      </c>
      <c r="D659" t="s">
        <v>55</v>
      </c>
      <c r="E659" s="2">
        <v>5</v>
      </c>
      <c r="F659">
        <v>5</v>
      </c>
      <c r="G659">
        <v>0</v>
      </c>
      <c r="H659">
        <v>0</v>
      </c>
      <c r="I659" t="s">
        <v>32</v>
      </c>
      <c r="J659" s="33" t="s">
        <v>148</v>
      </c>
      <c r="M659" t="s">
        <v>50</v>
      </c>
      <c r="N659">
        <v>43</v>
      </c>
      <c r="R659" t="s">
        <v>61</v>
      </c>
      <c r="S659">
        <v>0</v>
      </c>
    </row>
    <row r="660" spans="1:19" x14ac:dyDescent="0.25">
      <c r="A660" t="s">
        <v>54</v>
      </c>
      <c r="B660">
        <v>1</v>
      </c>
      <c r="C660" t="s">
        <v>34</v>
      </c>
      <c r="D660" t="s">
        <v>56</v>
      </c>
      <c r="E660" s="2">
        <v>5</v>
      </c>
      <c r="F660">
        <v>5</v>
      </c>
      <c r="G660">
        <v>0</v>
      </c>
      <c r="H660">
        <v>0</v>
      </c>
      <c r="I660" t="s">
        <v>32</v>
      </c>
      <c r="J660" s="33" t="s">
        <v>148</v>
      </c>
      <c r="M660" t="s">
        <v>50</v>
      </c>
      <c r="N660">
        <v>0</v>
      </c>
      <c r="R660" t="s">
        <v>61</v>
      </c>
      <c r="S660">
        <v>0</v>
      </c>
    </row>
    <row r="661" spans="1:19" x14ac:dyDescent="0.25">
      <c r="A661" t="s">
        <v>54</v>
      </c>
      <c r="B661">
        <v>4</v>
      </c>
      <c r="C661" t="s">
        <v>30</v>
      </c>
      <c r="D661" t="s">
        <v>61</v>
      </c>
      <c r="E661" s="2">
        <v>5</v>
      </c>
      <c r="F661">
        <v>5</v>
      </c>
      <c r="G661">
        <v>0</v>
      </c>
      <c r="H661">
        <v>0</v>
      </c>
      <c r="I661" t="s">
        <v>32</v>
      </c>
      <c r="J661" s="33" t="s">
        <v>148</v>
      </c>
      <c r="M661" t="s">
        <v>50</v>
      </c>
      <c r="N661">
        <v>50</v>
      </c>
      <c r="R661" t="s">
        <v>61</v>
      </c>
      <c r="S661">
        <v>0</v>
      </c>
    </row>
    <row r="662" spans="1:19" x14ac:dyDescent="0.25">
      <c r="A662" t="s">
        <v>54</v>
      </c>
      <c r="B662">
        <v>4</v>
      </c>
      <c r="C662" t="s">
        <v>34</v>
      </c>
      <c r="D662" t="s">
        <v>62</v>
      </c>
      <c r="E662" s="2">
        <v>5</v>
      </c>
      <c r="F662">
        <v>5</v>
      </c>
      <c r="G662">
        <v>0</v>
      </c>
      <c r="H662">
        <v>0</v>
      </c>
      <c r="I662" t="s">
        <v>32</v>
      </c>
      <c r="J662" s="33" t="s">
        <v>148</v>
      </c>
      <c r="M662" t="s">
        <v>50</v>
      </c>
      <c r="N662">
        <v>0</v>
      </c>
      <c r="R662" t="s">
        <v>61</v>
      </c>
      <c r="S662">
        <v>0</v>
      </c>
    </row>
    <row r="663" spans="1:19" x14ac:dyDescent="0.25">
      <c r="A663" t="s">
        <v>54</v>
      </c>
      <c r="B663">
        <v>4</v>
      </c>
      <c r="C663" t="s">
        <v>34</v>
      </c>
      <c r="D663" t="s">
        <v>62</v>
      </c>
      <c r="E663" s="2">
        <v>5</v>
      </c>
      <c r="F663">
        <v>5</v>
      </c>
      <c r="G663">
        <v>0</v>
      </c>
      <c r="H663">
        <v>0</v>
      </c>
      <c r="I663" t="s">
        <v>32</v>
      </c>
      <c r="J663" s="33" t="s">
        <v>148</v>
      </c>
      <c r="M663" t="s">
        <v>50</v>
      </c>
      <c r="N663">
        <v>6</v>
      </c>
      <c r="R663" t="s">
        <v>61</v>
      </c>
      <c r="S663">
        <v>56</v>
      </c>
    </row>
    <row r="664" spans="1:19" x14ac:dyDescent="0.25">
      <c r="A664" t="s">
        <v>54</v>
      </c>
      <c r="B664">
        <v>4</v>
      </c>
      <c r="C664" t="s">
        <v>34</v>
      </c>
      <c r="D664" t="s">
        <v>62</v>
      </c>
      <c r="E664" s="2">
        <v>5</v>
      </c>
      <c r="F664">
        <v>5</v>
      </c>
      <c r="G664">
        <v>0</v>
      </c>
      <c r="H664">
        <v>0</v>
      </c>
      <c r="I664" t="s">
        <v>32</v>
      </c>
      <c r="J664" s="33" t="s">
        <v>148</v>
      </c>
      <c r="M664" t="s">
        <v>50</v>
      </c>
      <c r="N664">
        <v>101</v>
      </c>
      <c r="R664" t="s">
        <v>61</v>
      </c>
      <c r="S664">
        <v>0</v>
      </c>
    </row>
    <row r="665" spans="1:19" x14ac:dyDescent="0.25">
      <c r="A665" t="s">
        <v>63</v>
      </c>
      <c r="B665">
        <v>5</v>
      </c>
      <c r="C665" t="s">
        <v>30</v>
      </c>
      <c r="D665" t="s">
        <v>64</v>
      </c>
      <c r="E665" s="2">
        <v>5</v>
      </c>
      <c r="F665">
        <v>5</v>
      </c>
      <c r="G665">
        <v>0</v>
      </c>
      <c r="H665">
        <v>0</v>
      </c>
      <c r="I665" t="s">
        <v>32</v>
      </c>
      <c r="J665" s="33" t="s">
        <v>148</v>
      </c>
      <c r="M665" t="s">
        <v>50</v>
      </c>
      <c r="N665">
        <v>106</v>
      </c>
      <c r="R665" t="s">
        <v>61</v>
      </c>
      <c r="S665">
        <v>9</v>
      </c>
    </row>
    <row r="666" spans="1:19" x14ac:dyDescent="0.25">
      <c r="A666" t="s">
        <v>63</v>
      </c>
      <c r="B666">
        <v>5</v>
      </c>
      <c r="C666" t="s">
        <v>30</v>
      </c>
      <c r="D666" t="s">
        <v>64</v>
      </c>
      <c r="E666" s="2">
        <v>5</v>
      </c>
      <c r="F666">
        <v>5</v>
      </c>
      <c r="G666">
        <v>0</v>
      </c>
      <c r="H666">
        <v>0</v>
      </c>
      <c r="I666" t="s">
        <v>32</v>
      </c>
      <c r="J666" s="33" t="s">
        <v>148</v>
      </c>
      <c r="M666" t="s">
        <v>50</v>
      </c>
      <c r="N666">
        <v>145</v>
      </c>
      <c r="R666" t="s">
        <v>61</v>
      </c>
      <c r="S666">
        <v>0</v>
      </c>
    </row>
    <row r="667" spans="1:19" x14ac:dyDescent="0.25">
      <c r="A667" t="s">
        <v>63</v>
      </c>
      <c r="B667">
        <v>5</v>
      </c>
      <c r="C667" t="s">
        <v>34</v>
      </c>
      <c r="D667" t="s">
        <v>65</v>
      </c>
      <c r="E667" s="2">
        <v>5</v>
      </c>
      <c r="F667">
        <v>0</v>
      </c>
      <c r="G667">
        <v>5</v>
      </c>
      <c r="H667">
        <v>2.6</v>
      </c>
      <c r="I667" t="s">
        <v>32</v>
      </c>
      <c r="J667" s="33" t="s">
        <v>148</v>
      </c>
      <c r="M667" t="s">
        <v>50</v>
      </c>
      <c r="N667">
        <v>73</v>
      </c>
      <c r="R667" t="s">
        <v>61</v>
      </c>
      <c r="S667">
        <v>0</v>
      </c>
    </row>
    <row r="668" spans="1:19" x14ac:dyDescent="0.25">
      <c r="A668" t="s">
        <v>63</v>
      </c>
      <c r="B668">
        <v>5</v>
      </c>
      <c r="C668" t="s">
        <v>34</v>
      </c>
      <c r="D668" t="s">
        <v>65</v>
      </c>
      <c r="E668" s="2">
        <v>5</v>
      </c>
      <c r="F668">
        <v>0</v>
      </c>
      <c r="G668">
        <v>5</v>
      </c>
      <c r="H668">
        <v>2.7</v>
      </c>
      <c r="I668" t="s">
        <v>32</v>
      </c>
      <c r="J668" s="33" t="s">
        <v>148</v>
      </c>
      <c r="M668" t="s">
        <v>50</v>
      </c>
      <c r="N668">
        <v>106</v>
      </c>
      <c r="R668" t="s">
        <v>61</v>
      </c>
      <c r="S668">
        <v>6</v>
      </c>
    </row>
    <row r="669" spans="1:19" x14ac:dyDescent="0.25">
      <c r="A669" t="s">
        <v>63</v>
      </c>
      <c r="B669">
        <v>5</v>
      </c>
      <c r="C669" t="s">
        <v>34</v>
      </c>
      <c r="D669" t="s">
        <v>65</v>
      </c>
      <c r="E669" s="2">
        <v>5</v>
      </c>
      <c r="F669">
        <v>5</v>
      </c>
      <c r="G669">
        <v>0</v>
      </c>
      <c r="H669">
        <v>0</v>
      </c>
      <c r="I669" t="s">
        <v>32</v>
      </c>
      <c r="J669" s="33" t="s">
        <v>148</v>
      </c>
      <c r="M669" t="s">
        <v>50</v>
      </c>
      <c r="N669">
        <v>63</v>
      </c>
      <c r="R669" t="s">
        <v>61</v>
      </c>
      <c r="S669">
        <v>4</v>
      </c>
    </row>
    <row r="670" spans="1:19" x14ac:dyDescent="0.25">
      <c r="A670" t="s">
        <v>63</v>
      </c>
      <c r="B670">
        <v>5</v>
      </c>
      <c r="C670" t="s">
        <v>34</v>
      </c>
      <c r="D670" t="s">
        <v>65</v>
      </c>
      <c r="E670" s="2">
        <v>5</v>
      </c>
      <c r="F670">
        <v>0</v>
      </c>
      <c r="G670">
        <v>5</v>
      </c>
      <c r="H670">
        <v>3.8</v>
      </c>
      <c r="I670" t="s">
        <v>32</v>
      </c>
      <c r="J670" s="33" t="s">
        <v>148</v>
      </c>
      <c r="M670" t="s">
        <v>50</v>
      </c>
      <c r="N670">
        <v>21</v>
      </c>
      <c r="R670" t="s">
        <v>64</v>
      </c>
      <c r="S670">
        <v>45</v>
      </c>
    </row>
    <row r="671" spans="1:19" x14ac:dyDescent="0.25">
      <c r="A671" t="s">
        <v>63</v>
      </c>
      <c r="B671">
        <v>5</v>
      </c>
      <c r="C671" t="s">
        <v>34</v>
      </c>
      <c r="D671" t="s">
        <v>65</v>
      </c>
      <c r="E671" s="2">
        <v>5</v>
      </c>
      <c r="F671">
        <v>0</v>
      </c>
      <c r="G671">
        <v>5</v>
      </c>
      <c r="H671">
        <v>6.7</v>
      </c>
      <c r="I671" t="s">
        <v>32</v>
      </c>
      <c r="J671" s="33" t="s">
        <v>148</v>
      </c>
      <c r="M671" t="s">
        <v>50</v>
      </c>
      <c r="N671">
        <v>94</v>
      </c>
      <c r="R671" t="s">
        <v>64</v>
      </c>
      <c r="S671">
        <v>0</v>
      </c>
    </row>
    <row r="672" spans="1:19" x14ac:dyDescent="0.25">
      <c r="A672" t="s">
        <v>63</v>
      </c>
      <c r="B672">
        <v>5</v>
      </c>
      <c r="C672" t="s">
        <v>34</v>
      </c>
      <c r="D672" t="s">
        <v>65</v>
      </c>
      <c r="E672" s="2">
        <v>5</v>
      </c>
      <c r="F672">
        <v>5</v>
      </c>
      <c r="G672">
        <v>0</v>
      </c>
      <c r="H672">
        <v>0</v>
      </c>
      <c r="I672" t="s">
        <v>32</v>
      </c>
      <c r="J672" s="33" t="s">
        <v>148</v>
      </c>
      <c r="M672" t="s">
        <v>50</v>
      </c>
      <c r="N672">
        <v>42</v>
      </c>
      <c r="R672" t="s">
        <v>64</v>
      </c>
      <c r="S672">
        <v>0</v>
      </c>
    </row>
    <row r="673" spans="1:19" x14ac:dyDescent="0.25">
      <c r="A673" t="s">
        <v>63</v>
      </c>
      <c r="B673">
        <v>5</v>
      </c>
      <c r="C673" t="s">
        <v>34</v>
      </c>
      <c r="D673" t="s">
        <v>65</v>
      </c>
      <c r="E673" s="2">
        <v>5</v>
      </c>
      <c r="F673">
        <v>0</v>
      </c>
      <c r="G673">
        <v>5</v>
      </c>
      <c r="H673">
        <v>0.3</v>
      </c>
      <c r="I673" t="s">
        <v>32</v>
      </c>
      <c r="J673" s="33" t="s">
        <v>148</v>
      </c>
      <c r="M673" t="s">
        <v>50</v>
      </c>
      <c r="N673">
        <v>50</v>
      </c>
      <c r="R673" t="s">
        <v>64</v>
      </c>
      <c r="S673">
        <v>0</v>
      </c>
    </row>
    <row r="674" spans="1:19" x14ac:dyDescent="0.25">
      <c r="A674" t="s">
        <v>63</v>
      </c>
      <c r="B674">
        <v>1</v>
      </c>
      <c r="C674" t="s">
        <v>34</v>
      </c>
      <c r="D674" t="s">
        <v>67</v>
      </c>
      <c r="E674" s="2">
        <v>5</v>
      </c>
      <c r="F674">
        <v>0</v>
      </c>
      <c r="G674">
        <v>5</v>
      </c>
      <c r="H674">
        <v>11.2</v>
      </c>
      <c r="I674" t="s">
        <v>32</v>
      </c>
      <c r="J674" s="33" t="s">
        <v>148</v>
      </c>
      <c r="M674" t="s">
        <v>50</v>
      </c>
      <c r="N674">
        <v>61</v>
      </c>
      <c r="R674" t="s">
        <v>64</v>
      </c>
      <c r="S674">
        <v>0</v>
      </c>
    </row>
    <row r="675" spans="1:19" x14ac:dyDescent="0.25">
      <c r="A675" t="s">
        <v>63</v>
      </c>
      <c r="B675">
        <v>1</v>
      </c>
      <c r="C675" t="s">
        <v>34</v>
      </c>
      <c r="D675" t="s">
        <v>67</v>
      </c>
      <c r="E675" s="2">
        <v>5</v>
      </c>
      <c r="F675">
        <v>0</v>
      </c>
      <c r="G675">
        <v>5</v>
      </c>
      <c r="H675">
        <v>4.3</v>
      </c>
      <c r="I675" t="s">
        <v>32</v>
      </c>
      <c r="J675" s="33" t="s">
        <v>148</v>
      </c>
      <c r="M675" t="s">
        <v>50</v>
      </c>
      <c r="N675">
        <v>114</v>
      </c>
      <c r="R675" t="s">
        <v>64</v>
      </c>
      <c r="S675">
        <v>133</v>
      </c>
    </row>
    <row r="676" spans="1:19" x14ac:dyDescent="0.25">
      <c r="A676" t="s">
        <v>63</v>
      </c>
      <c r="B676">
        <v>1</v>
      </c>
      <c r="C676" t="s">
        <v>34</v>
      </c>
      <c r="D676" t="s">
        <v>67</v>
      </c>
      <c r="E676" s="2">
        <v>5</v>
      </c>
      <c r="F676">
        <v>5</v>
      </c>
      <c r="G676">
        <v>0</v>
      </c>
      <c r="H676">
        <v>0</v>
      </c>
      <c r="I676" t="s">
        <v>32</v>
      </c>
      <c r="J676" s="33" t="s">
        <v>148</v>
      </c>
      <c r="M676" t="s">
        <v>50</v>
      </c>
      <c r="N676">
        <v>94</v>
      </c>
      <c r="R676" t="s">
        <v>64</v>
      </c>
      <c r="S676">
        <v>0</v>
      </c>
    </row>
    <row r="677" spans="1:19" x14ac:dyDescent="0.25">
      <c r="A677" t="s">
        <v>68</v>
      </c>
      <c r="B677">
        <v>6</v>
      </c>
      <c r="C677" t="s">
        <v>34</v>
      </c>
      <c r="D677" t="s">
        <v>70</v>
      </c>
      <c r="E677" s="2">
        <v>5</v>
      </c>
      <c r="F677">
        <v>0</v>
      </c>
      <c r="G677">
        <v>5</v>
      </c>
      <c r="H677">
        <v>2.4</v>
      </c>
      <c r="I677" t="s">
        <v>32</v>
      </c>
      <c r="J677" s="33" t="s">
        <v>148</v>
      </c>
      <c r="M677" t="s">
        <v>50</v>
      </c>
      <c r="N677">
        <v>5</v>
      </c>
      <c r="R677" t="s">
        <v>64</v>
      </c>
      <c r="S677">
        <v>6</v>
      </c>
    </row>
    <row r="678" spans="1:19" x14ac:dyDescent="0.25">
      <c r="A678" t="s">
        <v>71</v>
      </c>
      <c r="B678">
        <v>8</v>
      </c>
      <c r="C678" t="s">
        <v>34</v>
      </c>
      <c r="D678" t="s">
        <v>73</v>
      </c>
      <c r="E678" s="2">
        <v>5</v>
      </c>
      <c r="F678">
        <v>0</v>
      </c>
      <c r="G678">
        <v>5</v>
      </c>
      <c r="H678">
        <v>0.7</v>
      </c>
      <c r="I678" t="s">
        <v>32</v>
      </c>
      <c r="J678" s="33" t="s">
        <v>148</v>
      </c>
      <c r="M678" t="s">
        <v>50</v>
      </c>
      <c r="N678">
        <v>0</v>
      </c>
      <c r="R678" t="s">
        <v>64</v>
      </c>
      <c r="S678">
        <v>0</v>
      </c>
    </row>
    <row r="679" spans="1:19" x14ac:dyDescent="0.25">
      <c r="A679" t="s">
        <v>71</v>
      </c>
      <c r="B679">
        <v>10</v>
      </c>
      <c r="C679" t="s">
        <v>34</v>
      </c>
      <c r="D679" t="s">
        <v>75</v>
      </c>
      <c r="E679" s="2">
        <v>5</v>
      </c>
      <c r="F679">
        <v>5</v>
      </c>
      <c r="G679">
        <v>0</v>
      </c>
      <c r="H679">
        <v>0</v>
      </c>
      <c r="I679" t="s">
        <v>32</v>
      </c>
      <c r="J679" s="33" t="s">
        <v>148</v>
      </c>
      <c r="M679" t="s">
        <v>50</v>
      </c>
      <c r="N679">
        <v>0</v>
      </c>
      <c r="R679" t="s">
        <v>64</v>
      </c>
      <c r="S679">
        <v>0</v>
      </c>
    </row>
    <row r="680" spans="1:19" x14ac:dyDescent="0.25">
      <c r="A680" t="s">
        <v>71</v>
      </c>
      <c r="B680">
        <v>11</v>
      </c>
      <c r="C680" t="s">
        <v>30</v>
      </c>
      <c r="D680" t="s">
        <v>76</v>
      </c>
      <c r="E680" s="2">
        <v>5</v>
      </c>
      <c r="F680">
        <v>0</v>
      </c>
      <c r="G680">
        <v>5</v>
      </c>
      <c r="H680">
        <v>5.2</v>
      </c>
      <c r="I680" t="s">
        <v>32</v>
      </c>
      <c r="J680" s="33" t="s">
        <v>148</v>
      </c>
      <c r="M680" t="s">
        <v>50</v>
      </c>
      <c r="N680">
        <v>0</v>
      </c>
      <c r="R680" t="s">
        <v>64</v>
      </c>
      <c r="S680">
        <v>0</v>
      </c>
    </row>
    <row r="681" spans="1:19" x14ac:dyDescent="0.25">
      <c r="A681" t="s">
        <v>29</v>
      </c>
      <c r="B681">
        <v>1</v>
      </c>
      <c r="C681" t="s">
        <v>30</v>
      </c>
      <c r="D681" t="s">
        <v>31</v>
      </c>
      <c r="E681" s="2">
        <v>6</v>
      </c>
      <c r="F681">
        <v>6</v>
      </c>
      <c r="G681">
        <v>0</v>
      </c>
      <c r="H681">
        <v>0</v>
      </c>
      <c r="I681" t="s">
        <v>32</v>
      </c>
      <c r="J681" s="33" t="s">
        <v>148</v>
      </c>
      <c r="M681" t="s">
        <v>50</v>
      </c>
      <c r="N681">
        <v>4</v>
      </c>
      <c r="R681" t="s">
        <v>64</v>
      </c>
      <c r="S681">
        <v>0</v>
      </c>
    </row>
    <row r="682" spans="1:19" x14ac:dyDescent="0.25">
      <c r="A682" t="s">
        <v>29</v>
      </c>
      <c r="B682">
        <v>1</v>
      </c>
      <c r="C682" t="s">
        <v>30</v>
      </c>
      <c r="D682" t="s">
        <v>31</v>
      </c>
      <c r="E682" s="2">
        <v>6</v>
      </c>
      <c r="F682">
        <v>0</v>
      </c>
      <c r="G682">
        <v>6</v>
      </c>
      <c r="H682">
        <v>11.8</v>
      </c>
      <c r="I682" t="s">
        <v>32</v>
      </c>
      <c r="J682" s="33" t="s">
        <v>148</v>
      </c>
      <c r="M682" t="s">
        <v>50</v>
      </c>
      <c r="N682">
        <v>0</v>
      </c>
      <c r="R682" t="s">
        <v>64</v>
      </c>
      <c r="S682">
        <v>8</v>
      </c>
    </row>
    <row r="683" spans="1:19" x14ac:dyDescent="0.25">
      <c r="A683" t="s">
        <v>29</v>
      </c>
      <c r="B683">
        <v>1</v>
      </c>
      <c r="C683" t="s">
        <v>34</v>
      </c>
      <c r="D683" t="s">
        <v>35</v>
      </c>
      <c r="E683" s="2">
        <v>6</v>
      </c>
      <c r="F683">
        <v>0</v>
      </c>
      <c r="G683">
        <v>6</v>
      </c>
      <c r="H683">
        <v>7.6</v>
      </c>
      <c r="I683" t="s">
        <v>32</v>
      </c>
      <c r="J683" s="33" t="s">
        <v>148</v>
      </c>
      <c r="M683" t="s">
        <v>50</v>
      </c>
      <c r="N683">
        <v>145</v>
      </c>
      <c r="R683" t="s">
        <v>64</v>
      </c>
      <c r="S683">
        <v>0</v>
      </c>
    </row>
    <row r="684" spans="1:19" x14ac:dyDescent="0.25">
      <c r="A684" t="s">
        <v>29</v>
      </c>
      <c r="B684">
        <v>1</v>
      </c>
      <c r="C684" t="s">
        <v>34</v>
      </c>
      <c r="D684" t="s">
        <v>35</v>
      </c>
      <c r="E684" s="2">
        <v>6</v>
      </c>
      <c r="F684">
        <v>0</v>
      </c>
      <c r="G684">
        <v>6</v>
      </c>
      <c r="H684">
        <v>3.4</v>
      </c>
      <c r="I684" t="s">
        <v>32</v>
      </c>
      <c r="J684" s="33" t="s">
        <v>148</v>
      </c>
      <c r="M684" t="s">
        <v>50</v>
      </c>
      <c r="N684">
        <v>8</v>
      </c>
      <c r="R684" t="s">
        <v>64</v>
      </c>
      <c r="S684">
        <v>0</v>
      </c>
    </row>
    <row r="685" spans="1:19" x14ac:dyDescent="0.25">
      <c r="A685" t="s">
        <v>29</v>
      </c>
      <c r="B685">
        <v>1</v>
      </c>
      <c r="C685" t="s">
        <v>34</v>
      </c>
      <c r="D685" t="s">
        <v>35</v>
      </c>
      <c r="E685" s="2">
        <v>6</v>
      </c>
      <c r="F685">
        <v>0</v>
      </c>
      <c r="G685">
        <v>6</v>
      </c>
      <c r="H685">
        <v>2.1</v>
      </c>
      <c r="I685" t="s">
        <v>32</v>
      </c>
      <c r="J685" s="33" t="s">
        <v>148</v>
      </c>
      <c r="M685" t="s">
        <v>53</v>
      </c>
      <c r="N685">
        <v>103</v>
      </c>
      <c r="R685" t="s">
        <v>64</v>
      </c>
      <c r="S685">
        <v>5</v>
      </c>
    </row>
    <row r="686" spans="1:19" x14ac:dyDescent="0.25">
      <c r="A686" t="s">
        <v>29</v>
      </c>
      <c r="B686">
        <v>1</v>
      </c>
      <c r="C686" t="s">
        <v>34</v>
      </c>
      <c r="D686" t="s">
        <v>35</v>
      </c>
      <c r="E686" s="2">
        <v>6</v>
      </c>
      <c r="F686">
        <v>0</v>
      </c>
      <c r="G686">
        <v>6</v>
      </c>
      <c r="H686">
        <v>1.7</v>
      </c>
      <c r="I686" t="s">
        <v>32</v>
      </c>
      <c r="J686" s="33" t="s">
        <v>148</v>
      </c>
      <c r="M686" t="s">
        <v>53</v>
      </c>
      <c r="N686">
        <v>20</v>
      </c>
      <c r="R686" t="s">
        <v>64</v>
      </c>
      <c r="S686">
        <v>41</v>
      </c>
    </row>
    <row r="687" spans="1:19" x14ac:dyDescent="0.25">
      <c r="A687" t="s">
        <v>29</v>
      </c>
      <c r="B687">
        <v>1</v>
      </c>
      <c r="C687" t="s">
        <v>34</v>
      </c>
      <c r="D687" t="s">
        <v>35</v>
      </c>
      <c r="E687" s="2">
        <v>6</v>
      </c>
      <c r="F687">
        <v>6</v>
      </c>
      <c r="G687">
        <v>0</v>
      </c>
      <c r="H687">
        <v>0</v>
      </c>
      <c r="I687" t="s">
        <v>32</v>
      </c>
      <c r="J687" s="33" t="s">
        <v>148</v>
      </c>
      <c r="M687" t="s">
        <v>53</v>
      </c>
      <c r="N687">
        <v>0</v>
      </c>
      <c r="R687" t="s">
        <v>64</v>
      </c>
      <c r="S687">
        <v>47</v>
      </c>
    </row>
    <row r="688" spans="1:19" x14ac:dyDescent="0.25">
      <c r="A688" t="s">
        <v>29</v>
      </c>
      <c r="B688">
        <v>1</v>
      </c>
      <c r="C688" t="s">
        <v>34</v>
      </c>
      <c r="D688" t="s">
        <v>35</v>
      </c>
      <c r="E688" s="2">
        <v>6</v>
      </c>
      <c r="F688">
        <v>0</v>
      </c>
      <c r="G688">
        <v>6</v>
      </c>
      <c r="H688">
        <v>5.0999999999999996</v>
      </c>
      <c r="I688" t="s">
        <v>32</v>
      </c>
      <c r="J688" s="33" t="s">
        <v>148</v>
      </c>
      <c r="M688" t="s">
        <v>53</v>
      </c>
      <c r="N688">
        <v>75</v>
      </c>
      <c r="R688" t="s">
        <v>64</v>
      </c>
      <c r="S688">
        <v>38</v>
      </c>
    </row>
    <row r="689" spans="1:19" x14ac:dyDescent="0.25">
      <c r="A689" t="s">
        <v>29</v>
      </c>
      <c r="B689">
        <v>1</v>
      </c>
      <c r="C689" t="s">
        <v>34</v>
      </c>
      <c r="D689" t="s">
        <v>35</v>
      </c>
      <c r="E689" s="2">
        <v>6</v>
      </c>
      <c r="F689">
        <v>0</v>
      </c>
      <c r="G689">
        <v>6</v>
      </c>
      <c r="H689">
        <v>3.2</v>
      </c>
      <c r="I689" t="s">
        <v>32</v>
      </c>
      <c r="J689" s="33" t="s">
        <v>148</v>
      </c>
      <c r="M689" t="s">
        <v>53</v>
      </c>
      <c r="N689">
        <v>0</v>
      </c>
      <c r="R689" t="s">
        <v>64</v>
      </c>
      <c r="S689">
        <v>28</v>
      </c>
    </row>
    <row r="690" spans="1:19" x14ac:dyDescent="0.25">
      <c r="A690" t="s">
        <v>29</v>
      </c>
      <c r="B690">
        <v>2</v>
      </c>
      <c r="C690" t="s">
        <v>30</v>
      </c>
      <c r="D690" t="s">
        <v>36</v>
      </c>
      <c r="E690" s="2">
        <v>6</v>
      </c>
      <c r="F690">
        <v>6</v>
      </c>
      <c r="G690">
        <v>0</v>
      </c>
      <c r="H690">
        <v>0</v>
      </c>
      <c r="I690" t="s">
        <v>32</v>
      </c>
      <c r="J690" s="33" t="s">
        <v>148</v>
      </c>
      <c r="M690" t="s">
        <v>53</v>
      </c>
      <c r="N690">
        <v>0</v>
      </c>
      <c r="R690" t="s">
        <v>64</v>
      </c>
      <c r="S690">
        <v>139</v>
      </c>
    </row>
    <row r="691" spans="1:19" x14ac:dyDescent="0.25">
      <c r="A691" t="s">
        <v>29</v>
      </c>
      <c r="B691">
        <v>2</v>
      </c>
      <c r="C691" t="s">
        <v>30</v>
      </c>
      <c r="D691" t="s">
        <v>36</v>
      </c>
      <c r="E691" s="2">
        <v>6</v>
      </c>
      <c r="F691">
        <v>0</v>
      </c>
      <c r="G691">
        <v>6</v>
      </c>
      <c r="H691">
        <v>9</v>
      </c>
      <c r="I691" t="s">
        <v>32</v>
      </c>
      <c r="J691" s="33" t="s">
        <v>148</v>
      </c>
      <c r="M691" t="s">
        <v>53</v>
      </c>
      <c r="N691">
        <v>69</v>
      </c>
      <c r="R691" t="s">
        <v>64</v>
      </c>
      <c r="S691">
        <v>7</v>
      </c>
    </row>
    <row r="692" spans="1:19" x14ac:dyDescent="0.25">
      <c r="A692" t="s">
        <v>29</v>
      </c>
      <c r="B692">
        <v>2</v>
      </c>
      <c r="C692" t="s">
        <v>34</v>
      </c>
      <c r="D692" t="s">
        <v>37</v>
      </c>
      <c r="E692" s="2">
        <v>6</v>
      </c>
      <c r="F692">
        <v>0</v>
      </c>
      <c r="G692">
        <v>6</v>
      </c>
      <c r="H692">
        <v>6</v>
      </c>
      <c r="I692" t="s">
        <v>32</v>
      </c>
      <c r="J692" s="33" t="s">
        <v>148</v>
      </c>
      <c r="M692" t="s">
        <v>53</v>
      </c>
      <c r="N692">
        <v>19</v>
      </c>
      <c r="R692" t="s">
        <v>64</v>
      </c>
      <c r="S692">
        <v>5</v>
      </c>
    </row>
    <row r="693" spans="1:19" x14ac:dyDescent="0.25">
      <c r="A693" t="s">
        <v>29</v>
      </c>
      <c r="B693">
        <v>3</v>
      </c>
      <c r="C693" t="s">
        <v>30</v>
      </c>
      <c r="D693" t="s">
        <v>38</v>
      </c>
      <c r="E693" s="2">
        <v>6</v>
      </c>
      <c r="F693">
        <v>0</v>
      </c>
      <c r="G693">
        <v>6</v>
      </c>
      <c r="H693">
        <v>2</v>
      </c>
      <c r="I693" t="s">
        <v>32</v>
      </c>
      <c r="J693" s="33" t="s">
        <v>148</v>
      </c>
      <c r="M693" t="s">
        <v>53</v>
      </c>
      <c r="N693">
        <v>8</v>
      </c>
      <c r="R693" t="s">
        <v>64</v>
      </c>
      <c r="S693">
        <v>0</v>
      </c>
    </row>
    <row r="694" spans="1:19" x14ac:dyDescent="0.25">
      <c r="A694" t="s">
        <v>29</v>
      </c>
      <c r="B694">
        <v>3</v>
      </c>
      <c r="C694" t="s">
        <v>30</v>
      </c>
      <c r="D694" t="s">
        <v>38</v>
      </c>
      <c r="E694" s="2">
        <v>6</v>
      </c>
      <c r="F694">
        <v>0</v>
      </c>
      <c r="G694">
        <v>6</v>
      </c>
      <c r="H694">
        <v>9</v>
      </c>
      <c r="I694" t="s">
        <v>32</v>
      </c>
      <c r="J694" s="33" t="s">
        <v>148</v>
      </c>
      <c r="M694" t="s">
        <v>53</v>
      </c>
      <c r="N694">
        <v>0</v>
      </c>
      <c r="R694" t="s">
        <v>64</v>
      </c>
      <c r="S694">
        <v>0</v>
      </c>
    </row>
    <row r="695" spans="1:19" x14ac:dyDescent="0.25">
      <c r="A695" t="s">
        <v>29</v>
      </c>
      <c r="B695">
        <v>3</v>
      </c>
      <c r="C695" t="s">
        <v>30</v>
      </c>
      <c r="D695" t="s">
        <v>38</v>
      </c>
      <c r="E695" s="2">
        <v>6</v>
      </c>
      <c r="F695">
        <v>0</v>
      </c>
      <c r="G695">
        <v>6</v>
      </c>
      <c r="H695">
        <v>5.5</v>
      </c>
      <c r="I695" t="s">
        <v>32</v>
      </c>
      <c r="J695" s="33" t="s">
        <v>148</v>
      </c>
      <c r="M695" t="s">
        <v>53</v>
      </c>
      <c r="N695">
        <v>0</v>
      </c>
      <c r="R695" t="s">
        <v>64</v>
      </c>
      <c r="S695">
        <v>0</v>
      </c>
    </row>
    <row r="696" spans="1:19" x14ac:dyDescent="0.25">
      <c r="A696" t="s">
        <v>29</v>
      </c>
      <c r="B696">
        <v>3</v>
      </c>
      <c r="C696" t="s">
        <v>34</v>
      </c>
      <c r="D696" t="s">
        <v>39</v>
      </c>
      <c r="E696" s="2">
        <v>6</v>
      </c>
      <c r="F696">
        <v>0</v>
      </c>
      <c r="G696">
        <v>6</v>
      </c>
      <c r="H696">
        <v>1.6</v>
      </c>
      <c r="I696" t="s">
        <v>32</v>
      </c>
      <c r="J696" s="33" t="s">
        <v>148</v>
      </c>
      <c r="M696" t="s">
        <v>53</v>
      </c>
      <c r="N696">
        <v>84</v>
      </c>
      <c r="R696" t="s">
        <v>66</v>
      </c>
      <c r="S696">
        <v>6</v>
      </c>
    </row>
    <row r="697" spans="1:19" x14ac:dyDescent="0.25">
      <c r="A697" t="s">
        <v>29</v>
      </c>
      <c r="B697">
        <v>3</v>
      </c>
      <c r="C697" t="s">
        <v>34</v>
      </c>
      <c r="D697" t="s">
        <v>39</v>
      </c>
      <c r="E697" s="2">
        <v>6</v>
      </c>
      <c r="F697">
        <v>0</v>
      </c>
      <c r="G697">
        <v>6</v>
      </c>
      <c r="H697">
        <v>4.3</v>
      </c>
      <c r="I697" t="s">
        <v>32</v>
      </c>
      <c r="J697" s="33" t="s">
        <v>148</v>
      </c>
      <c r="M697" t="s">
        <v>53</v>
      </c>
      <c r="N697">
        <v>120</v>
      </c>
      <c r="R697" t="s">
        <v>66</v>
      </c>
      <c r="S697">
        <v>6</v>
      </c>
    </row>
    <row r="698" spans="1:19" x14ac:dyDescent="0.25">
      <c r="A698" t="s">
        <v>29</v>
      </c>
      <c r="B698">
        <v>3</v>
      </c>
      <c r="C698" t="s">
        <v>34</v>
      </c>
      <c r="D698" t="s">
        <v>39</v>
      </c>
      <c r="E698" s="2">
        <v>6</v>
      </c>
      <c r="F698">
        <v>0</v>
      </c>
      <c r="G698">
        <v>6</v>
      </c>
      <c r="H698">
        <v>7</v>
      </c>
      <c r="I698" t="s">
        <v>32</v>
      </c>
      <c r="J698" s="33" t="s">
        <v>148</v>
      </c>
      <c r="M698" t="s">
        <v>53</v>
      </c>
      <c r="N698">
        <v>0</v>
      </c>
      <c r="R698" t="s">
        <v>66</v>
      </c>
      <c r="S698">
        <v>205</v>
      </c>
    </row>
    <row r="699" spans="1:19" x14ac:dyDescent="0.25">
      <c r="A699" t="s">
        <v>29</v>
      </c>
      <c r="B699">
        <v>3</v>
      </c>
      <c r="C699" t="s">
        <v>34</v>
      </c>
      <c r="D699" t="s">
        <v>39</v>
      </c>
      <c r="E699" s="2">
        <v>6</v>
      </c>
      <c r="F699">
        <v>6</v>
      </c>
      <c r="G699">
        <v>0</v>
      </c>
      <c r="H699">
        <v>0</v>
      </c>
      <c r="I699" t="s">
        <v>32</v>
      </c>
      <c r="J699" s="33" t="s">
        <v>148</v>
      </c>
      <c r="M699" t="s">
        <v>53</v>
      </c>
      <c r="N699">
        <v>0</v>
      </c>
      <c r="R699" t="s">
        <v>66</v>
      </c>
      <c r="S699">
        <v>16</v>
      </c>
    </row>
    <row r="700" spans="1:19" x14ac:dyDescent="0.25">
      <c r="A700" t="s">
        <v>29</v>
      </c>
      <c r="B700">
        <v>4</v>
      </c>
      <c r="C700" t="s">
        <v>30</v>
      </c>
      <c r="D700" t="s">
        <v>40</v>
      </c>
      <c r="E700" s="2">
        <v>6</v>
      </c>
      <c r="F700">
        <v>6</v>
      </c>
      <c r="G700">
        <v>0</v>
      </c>
      <c r="H700">
        <v>0</v>
      </c>
      <c r="I700" t="s">
        <v>32</v>
      </c>
      <c r="J700" s="33" t="s">
        <v>148</v>
      </c>
      <c r="M700" t="s">
        <v>53</v>
      </c>
      <c r="N700">
        <v>0</v>
      </c>
      <c r="R700" t="s">
        <v>69</v>
      </c>
      <c r="S700">
        <v>68</v>
      </c>
    </row>
    <row r="701" spans="1:19" x14ac:dyDescent="0.25">
      <c r="A701" t="s">
        <v>29</v>
      </c>
      <c r="B701">
        <v>4</v>
      </c>
      <c r="C701" t="s">
        <v>30</v>
      </c>
      <c r="D701" t="s">
        <v>40</v>
      </c>
      <c r="E701" s="2">
        <v>6</v>
      </c>
      <c r="F701">
        <v>6</v>
      </c>
      <c r="G701">
        <v>0</v>
      </c>
      <c r="H701">
        <v>0</v>
      </c>
      <c r="I701" t="s">
        <v>32</v>
      </c>
      <c r="J701" s="33" t="s">
        <v>148</v>
      </c>
      <c r="M701" t="s">
        <v>53</v>
      </c>
      <c r="N701">
        <v>68</v>
      </c>
      <c r="R701" t="s">
        <v>69</v>
      </c>
      <c r="S701">
        <v>0</v>
      </c>
    </row>
    <row r="702" spans="1:19" x14ac:dyDescent="0.25">
      <c r="A702" t="s">
        <v>29</v>
      </c>
      <c r="B702">
        <v>4</v>
      </c>
      <c r="C702" t="s">
        <v>34</v>
      </c>
      <c r="D702" t="s">
        <v>41</v>
      </c>
      <c r="E702" s="2">
        <v>6</v>
      </c>
      <c r="F702">
        <v>0</v>
      </c>
      <c r="G702">
        <v>6</v>
      </c>
      <c r="H702">
        <v>4.3</v>
      </c>
      <c r="I702" t="s">
        <v>32</v>
      </c>
      <c r="J702" s="33" t="s">
        <v>148</v>
      </c>
      <c r="M702" t="s">
        <v>53</v>
      </c>
      <c r="N702">
        <v>53</v>
      </c>
      <c r="R702" t="s">
        <v>69</v>
      </c>
      <c r="S702">
        <v>0</v>
      </c>
    </row>
    <row r="703" spans="1:19" x14ac:dyDescent="0.25">
      <c r="A703" t="s">
        <v>42</v>
      </c>
      <c r="B703">
        <v>1</v>
      </c>
      <c r="C703" t="s">
        <v>30</v>
      </c>
      <c r="D703" t="s">
        <v>43</v>
      </c>
      <c r="E703" s="2">
        <v>6</v>
      </c>
      <c r="F703">
        <v>6</v>
      </c>
      <c r="G703">
        <v>0</v>
      </c>
      <c r="H703">
        <v>0</v>
      </c>
      <c r="I703" t="s">
        <v>32</v>
      </c>
      <c r="J703" s="33" t="s">
        <v>148</v>
      </c>
      <c r="M703" t="s">
        <v>53</v>
      </c>
      <c r="N703">
        <v>128</v>
      </c>
      <c r="R703" t="s">
        <v>69</v>
      </c>
      <c r="S703">
        <v>148</v>
      </c>
    </row>
    <row r="704" spans="1:19" x14ac:dyDescent="0.25">
      <c r="A704" t="s">
        <v>42</v>
      </c>
      <c r="B704">
        <v>1</v>
      </c>
      <c r="C704" t="s">
        <v>34</v>
      </c>
      <c r="D704" t="s">
        <v>44</v>
      </c>
      <c r="E704" s="2">
        <v>6</v>
      </c>
      <c r="F704">
        <v>6</v>
      </c>
      <c r="G704">
        <v>0</v>
      </c>
      <c r="H704">
        <v>0</v>
      </c>
      <c r="I704" t="s">
        <v>32</v>
      </c>
      <c r="J704" s="33" t="s">
        <v>148</v>
      </c>
      <c r="M704" t="s">
        <v>53</v>
      </c>
      <c r="N704">
        <v>73</v>
      </c>
      <c r="R704" t="s">
        <v>69</v>
      </c>
      <c r="S704">
        <v>33</v>
      </c>
    </row>
    <row r="705" spans="1:19" x14ac:dyDescent="0.25">
      <c r="A705" t="s">
        <v>42</v>
      </c>
      <c r="B705">
        <v>2</v>
      </c>
      <c r="C705" t="s">
        <v>34</v>
      </c>
      <c r="D705" t="s">
        <v>46</v>
      </c>
      <c r="E705" s="2">
        <v>6</v>
      </c>
      <c r="F705">
        <v>6</v>
      </c>
      <c r="G705">
        <v>0</v>
      </c>
      <c r="H705">
        <v>0</v>
      </c>
      <c r="I705" t="s">
        <v>32</v>
      </c>
      <c r="J705" s="33" t="s">
        <v>148</v>
      </c>
      <c r="M705" t="s">
        <v>53</v>
      </c>
      <c r="N705">
        <v>37</v>
      </c>
      <c r="R705" t="s">
        <v>69</v>
      </c>
      <c r="S705">
        <v>64</v>
      </c>
    </row>
    <row r="706" spans="1:19" x14ac:dyDescent="0.25">
      <c r="A706" t="s">
        <v>42</v>
      </c>
      <c r="B706">
        <v>2</v>
      </c>
      <c r="C706" t="s">
        <v>34</v>
      </c>
      <c r="D706" t="s">
        <v>46</v>
      </c>
      <c r="E706" s="2">
        <v>6</v>
      </c>
      <c r="F706">
        <v>0</v>
      </c>
      <c r="G706">
        <v>6</v>
      </c>
      <c r="H706">
        <v>11</v>
      </c>
      <c r="I706" t="s">
        <v>32</v>
      </c>
      <c r="J706" s="33" t="s">
        <v>148</v>
      </c>
      <c r="M706" t="s">
        <v>53</v>
      </c>
      <c r="N706">
        <v>93</v>
      </c>
      <c r="R706" t="s">
        <v>69</v>
      </c>
      <c r="S706">
        <v>0</v>
      </c>
    </row>
    <row r="707" spans="1:19" x14ac:dyDescent="0.25">
      <c r="A707" t="s">
        <v>42</v>
      </c>
      <c r="B707">
        <v>2</v>
      </c>
      <c r="C707" t="s">
        <v>34</v>
      </c>
      <c r="D707" t="s">
        <v>46</v>
      </c>
      <c r="E707" s="2">
        <v>6</v>
      </c>
      <c r="F707">
        <v>0</v>
      </c>
      <c r="G707">
        <v>6</v>
      </c>
      <c r="H707">
        <v>1.2</v>
      </c>
      <c r="I707" t="s">
        <v>32</v>
      </c>
      <c r="J707" s="33" t="s">
        <v>148</v>
      </c>
      <c r="M707" t="s">
        <v>53</v>
      </c>
      <c r="N707">
        <v>16</v>
      </c>
      <c r="R707" t="s">
        <v>69</v>
      </c>
      <c r="S707">
        <v>158</v>
      </c>
    </row>
    <row r="708" spans="1:19" x14ac:dyDescent="0.25">
      <c r="A708" t="s">
        <v>42</v>
      </c>
      <c r="B708">
        <v>2</v>
      </c>
      <c r="C708" t="s">
        <v>34</v>
      </c>
      <c r="D708" t="s">
        <v>46</v>
      </c>
      <c r="E708" s="2">
        <v>6</v>
      </c>
      <c r="F708">
        <v>0</v>
      </c>
      <c r="G708">
        <v>6</v>
      </c>
      <c r="H708">
        <v>5.5</v>
      </c>
      <c r="I708" t="s">
        <v>32</v>
      </c>
      <c r="J708" s="33" t="s">
        <v>148</v>
      </c>
      <c r="M708" t="s">
        <v>53</v>
      </c>
      <c r="N708">
        <v>0</v>
      </c>
      <c r="R708" t="s">
        <v>69</v>
      </c>
      <c r="S708">
        <v>48</v>
      </c>
    </row>
    <row r="709" spans="1:19" x14ac:dyDescent="0.25">
      <c r="A709" t="s">
        <v>42</v>
      </c>
      <c r="B709">
        <v>2</v>
      </c>
      <c r="C709" t="s">
        <v>34</v>
      </c>
      <c r="D709" t="s">
        <v>46</v>
      </c>
      <c r="E709" s="2">
        <v>6</v>
      </c>
      <c r="F709">
        <v>0</v>
      </c>
      <c r="G709">
        <v>6</v>
      </c>
      <c r="H709">
        <v>1.4</v>
      </c>
      <c r="I709" t="s">
        <v>32</v>
      </c>
      <c r="J709" s="33" t="s">
        <v>148</v>
      </c>
      <c r="M709" t="s">
        <v>53</v>
      </c>
      <c r="N709">
        <v>0</v>
      </c>
      <c r="R709" t="s">
        <v>69</v>
      </c>
      <c r="S709">
        <v>102</v>
      </c>
    </row>
    <row r="710" spans="1:19" x14ac:dyDescent="0.25">
      <c r="A710" t="s">
        <v>42</v>
      </c>
      <c r="B710">
        <v>2</v>
      </c>
      <c r="C710" t="s">
        <v>34</v>
      </c>
      <c r="D710" t="s">
        <v>46</v>
      </c>
      <c r="E710" s="2">
        <v>6</v>
      </c>
      <c r="F710">
        <v>0</v>
      </c>
      <c r="G710">
        <v>6</v>
      </c>
      <c r="H710">
        <v>1.3</v>
      </c>
      <c r="I710" t="s">
        <v>32</v>
      </c>
      <c r="J710" s="33" t="s">
        <v>148</v>
      </c>
      <c r="M710" t="s">
        <v>53</v>
      </c>
      <c r="N710">
        <v>3</v>
      </c>
      <c r="R710" t="s">
        <v>69</v>
      </c>
      <c r="S710">
        <v>0</v>
      </c>
    </row>
    <row r="711" spans="1:19" x14ac:dyDescent="0.25">
      <c r="A711" t="s">
        <v>42</v>
      </c>
      <c r="B711">
        <v>2</v>
      </c>
      <c r="C711" t="s">
        <v>34</v>
      </c>
      <c r="D711" t="s">
        <v>46</v>
      </c>
      <c r="E711" s="2">
        <v>6</v>
      </c>
      <c r="F711">
        <v>0</v>
      </c>
      <c r="G711">
        <v>6</v>
      </c>
      <c r="H711">
        <v>3.4</v>
      </c>
      <c r="I711" t="s">
        <v>32</v>
      </c>
      <c r="J711" s="33" t="s">
        <v>148</v>
      </c>
      <c r="M711" t="s">
        <v>53</v>
      </c>
      <c r="N711">
        <v>26</v>
      </c>
      <c r="R711" t="s">
        <v>69</v>
      </c>
      <c r="S711">
        <v>173</v>
      </c>
    </row>
    <row r="712" spans="1:19" x14ac:dyDescent="0.25">
      <c r="A712" t="s">
        <v>42</v>
      </c>
      <c r="B712">
        <v>5</v>
      </c>
      <c r="C712" t="s">
        <v>30</v>
      </c>
      <c r="D712" t="s">
        <v>47</v>
      </c>
      <c r="E712" s="2">
        <v>6</v>
      </c>
      <c r="F712">
        <v>0</v>
      </c>
      <c r="G712">
        <v>6</v>
      </c>
      <c r="H712">
        <v>1.5</v>
      </c>
      <c r="I712" t="s">
        <v>32</v>
      </c>
      <c r="J712" s="33" t="s">
        <v>148</v>
      </c>
      <c r="M712" t="s">
        <v>53</v>
      </c>
      <c r="N712">
        <v>11</v>
      </c>
      <c r="R712" t="s">
        <v>69</v>
      </c>
      <c r="S712">
        <v>87</v>
      </c>
    </row>
    <row r="713" spans="1:19" x14ac:dyDescent="0.25">
      <c r="A713" t="s">
        <v>42</v>
      </c>
      <c r="B713">
        <v>5</v>
      </c>
      <c r="C713" t="s">
        <v>34</v>
      </c>
      <c r="D713" t="s">
        <v>48</v>
      </c>
      <c r="E713" s="2">
        <v>6</v>
      </c>
      <c r="F713">
        <v>6</v>
      </c>
      <c r="G713">
        <v>0</v>
      </c>
      <c r="H713">
        <v>0</v>
      </c>
      <c r="I713" t="s">
        <v>32</v>
      </c>
      <c r="J713" s="33" t="s">
        <v>148</v>
      </c>
      <c r="M713" t="s">
        <v>53</v>
      </c>
      <c r="N713">
        <v>7</v>
      </c>
      <c r="R713" t="s">
        <v>69</v>
      </c>
      <c r="S713">
        <v>0</v>
      </c>
    </row>
    <row r="714" spans="1:19" x14ac:dyDescent="0.25">
      <c r="A714" t="s">
        <v>42</v>
      </c>
      <c r="B714">
        <v>5</v>
      </c>
      <c r="C714" t="s">
        <v>34</v>
      </c>
      <c r="D714" t="s">
        <v>48</v>
      </c>
      <c r="E714" s="2">
        <v>6</v>
      </c>
      <c r="F714">
        <v>0</v>
      </c>
      <c r="G714">
        <v>6</v>
      </c>
      <c r="H714">
        <v>9.3000000000000007</v>
      </c>
      <c r="I714" t="s">
        <v>32</v>
      </c>
      <c r="J714" s="33" t="s">
        <v>148</v>
      </c>
      <c r="M714" t="s">
        <v>53</v>
      </c>
      <c r="N714">
        <v>0</v>
      </c>
      <c r="R714" t="s">
        <v>72</v>
      </c>
      <c r="S714">
        <v>11</v>
      </c>
    </row>
    <row r="715" spans="1:19" x14ac:dyDescent="0.25">
      <c r="A715" t="s">
        <v>42</v>
      </c>
      <c r="B715">
        <v>3</v>
      </c>
      <c r="C715" t="s">
        <v>30</v>
      </c>
      <c r="D715" t="s">
        <v>49</v>
      </c>
      <c r="E715" s="2">
        <v>6</v>
      </c>
      <c r="F715">
        <v>0</v>
      </c>
      <c r="G715">
        <v>6</v>
      </c>
      <c r="H715">
        <v>0.7</v>
      </c>
      <c r="I715" t="s">
        <v>32</v>
      </c>
      <c r="J715" s="33" t="s">
        <v>148</v>
      </c>
      <c r="M715" t="s">
        <v>53</v>
      </c>
      <c r="N715">
        <v>3</v>
      </c>
      <c r="R715" t="s">
        <v>72</v>
      </c>
      <c r="S715">
        <v>148</v>
      </c>
    </row>
    <row r="716" spans="1:19" x14ac:dyDescent="0.25">
      <c r="A716" t="s">
        <v>42</v>
      </c>
      <c r="B716">
        <v>3</v>
      </c>
      <c r="C716" t="s">
        <v>30</v>
      </c>
      <c r="D716" t="s">
        <v>49</v>
      </c>
      <c r="E716" s="2">
        <v>6</v>
      </c>
      <c r="F716">
        <v>6</v>
      </c>
      <c r="G716">
        <v>0</v>
      </c>
      <c r="H716">
        <v>0</v>
      </c>
      <c r="I716" t="s">
        <v>32</v>
      </c>
      <c r="J716" s="33" t="s">
        <v>148</v>
      </c>
      <c r="M716" t="s">
        <v>53</v>
      </c>
      <c r="N716">
        <v>0</v>
      </c>
      <c r="R716" t="s">
        <v>72</v>
      </c>
      <c r="S716">
        <v>7</v>
      </c>
    </row>
    <row r="717" spans="1:19" x14ac:dyDescent="0.25">
      <c r="A717" t="s">
        <v>42</v>
      </c>
      <c r="B717">
        <v>3</v>
      </c>
      <c r="C717" t="s">
        <v>30</v>
      </c>
      <c r="D717" t="s">
        <v>49</v>
      </c>
      <c r="E717" s="2">
        <v>6</v>
      </c>
      <c r="F717">
        <v>6</v>
      </c>
      <c r="G717">
        <v>0</v>
      </c>
      <c r="H717">
        <v>0</v>
      </c>
      <c r="I717" t="s">
        <v>32</v>
      </c>
      <c r="J717" s="33" t="s">
        <v>148</v>
      </c>
      <c r="M717" t="s">
        <v>53</v>
      </c>
      <c r="N717">
        <v>28</v>
      </c>
      <c r="R717" t="s">
        <v>72</v>
      </c>
      <c r="S717">
        <v>13</v>
      </c>
    </row>
    <row r="718" spans="1:19" x14ac:dyDescent="0.25">
      <c r="A718" t="s">
        <v>42</v>
      </c>
      <c r="B718">
        <v>3</v>
      </c>
      <c r="C718" t="s">
        <v>30</v>
      </c>
      <c r="D718" t="s">
        <v>49</v>
      </c>
      <c r="E718" s="2">
        <v>6</v>
      </c>
      <c r="F718">
        <v>6</v>
      </c>
      <c r="G718">
        <v>0</v>
      </c>
      <c r="H718">
        <v>0</v>
      </c>
      <c r="I718" t="s">
        <v>32</v>
      </c>
      <c r="J718" s="33" t="s">
        <v>148</v>
      </c>
      <c r="M718" t="s">
        <v>53</v>
      </c>
      <c r="N718">
        <v>190</v>
      </c>
      <c r="R718" t="s">
        <v>72</v>
      </c>
      <c r="S718">
        <v>162</v>
      </c>
    </row>
    <row r="719" spans="1:19" x14ac:dyDescent="0.25">
      <c r="A719" t="s">
        <v>42</v>
      </c>
      <c r="B719">
        <v>3</v>
      </c>
      <c r="C719" t="s">
        <v>30</v>
      </c>
      <c r="D719" t="s">
        <v>49</v>
      </c>
      <c r="E719" s="2">
        <v>6</v>
      </c>
      <c r="F719">
        <v>6</v>
      </c>
      <c r="G719">
        <v>0</v>
      </c>
      <c r="H719">
        <v>0</v>
      </c>
      <c r="I719" t="s">
        <v>32</v>
      </c>
      <c r="J719" s="33" t="s">
        <v>148</v>
      </c>
      <c r="M719" t="s">
        <v>53</v>
      </c>
      <c r="N719">
        <v>0</v>
      </c>
      <c r="R719" t="s">
        <v>72</v>
      </c>
      <c r="S719">
        <v>18</v>
      </c>
    </row>
    <row r="720" spans="1:19" x14ac:dyDescent="0.25">
      <c r="A720" t="s">
        <v>42</v>
      </c>
      <c r="B720">
        <v>3</v>
      </c>
      <c r="C720" t="s">
        <v>34</v>
      </c>
      <c r="D720" t="s">
        <v>50</v>
      </c>
      <c r="E720" s="2">
        <v>6</v>
      </c>
      <c r="F720">
        <v>6</v>
      </c>
      <c r="G720">
        <v>0</v>
      </c>
      <c r="H720">
        <v>0</v>
      </c>
      <c r="I720" t="s">
        <v>32</v>
      </c>
      <c r="J720" s="33" t="s">
        <v>148</v>
      </c>
      <c r="M720" t="s">
        <v>53</v>
      </c>
      <c r="N720">
        <v>96</v>
      </c>
      <c r="R720" t="s">
        <v>72</v>
      </c>
      <c r="S720">
        <v>99</v>
      </c>
    </row>
    <row r="721" spans="1:19" x14ac:dyDescent="0.25">
      <c r="A721" t="s">
        <v>42</v>
      </c>
      <c r="B721">
        <v>3</v>
      </c>
      <c r="C721" t="s">
        <v>34</v>
      </c>
      <c r="D721" t="s">
        <v>50</v>
      </c>
      <c r="E721" s="2">
        <v>6</v>
      </c>
      <c r="F721">
        <v>6</v>
      </c>
      <c r="G721">
        <v>0</v>
      </c>
      <c r="H721">
        <v>0</v>
      </c>
      <c r="I721" t="s">
        <v>32</v>
      </c>
      <c r="J721" s="33" t="s">
        <v>148</v>
      </c>
      <c r="M721" t="s">
        <v>53</v>
      </c>
      <c r="N721">
        <v>94</v>
      </c>
      <c r="R721" t="s">
        <v>72</v>
      </c>
      <c r="S721">
        <v>86</v>
      </c>
    </row>
    <row r="722" spans="1:19" x14ac:dyDescent="0.25">
      <c r="A722" t="s">
        <v>42</v>
      </c>
      <c r="B722">
        <v>4</v>
      </c>
      <c r="C722" t="s">
        <v>30</v>
      </c>
      <c r="D722" t="s">
        <v>51</v>
      </c>
      <c r="E722" s="2">
        <v>6</v>
      </c>
      <c r="F722">
        <v>0</v>
      </c>
      <c r="G722">
        <v>6</v>
      </c>
      <c r="H722">
        <v>12</v>
      </c>
      <c r="I722" t="s">
        <v>32</v>
      </c>
      <c r="J722" s="33" t="s">
        <v>148</v>
      </c>
      <c r="M722" t="s">
        <v>53</v>
      </c>
      <c r="N722">
        <v>62</v>
      </c>
      <c r="R722" t="s">
        <v>72</v>
      </c>
      <c r="S722">
        <v>154</v>
      </c>
    </row>
    <row r="723" spans="1:19" x14ac:dyDescent="0.25">
      <c r="A723" t="s">
        <v>42</v>
      </c>
      <c r="B723">
        <v>4</v>
      </c>
      <c r="C723" t="s">
        <v>30</v>
      </c>
      <c r="D723" t="s">
        <v>51</v>
      </c>
      <c r="E723" s="2">
        <v>6</v>
      </c>
      <c r="F723">
        <v>0</v>
      </c>
      <c r="G723">
        <v>6</v>
      </c>
      <c r="H723">
        <v>15.1</v>
      </c>
      <c r="I723" t="s">
        <v>32</v>
      </c>
      <c r="J723" s="33" t="s">
        <v>148</v>
      </c>
      <c r="M723" t="s">
        <v>53</v>
      </c>
      <c r="N723">
        <v>185</v>
      </c>
      <c r="R723" t="s">
        <v>74</v>
      </c>
      <c r="S723">
        <v>4</v>
      </c>
    </row>
    <row r="724" spans="1:19" x14ac:dyDescent="0.25">
      <c r="A724" t="s">
        <v>54</v>
      </c>
      <c r="B724">
        <v>1</v>
      </c>
      <c r="C724" t="s">
        <v>30</v>
      </c>
      <c r="D724" t="s">
        <v>55</v>
      </c>
      <c r="E724" s="2">
        <v>6</v>
      </c>
      <c r="F724">
        <v>0</v>
      </c>
      <c r="G724">
        <v>6</v>
      </c>
      <c r="H724">
        <v>1.4</v>
      </c>
      <c r="I724" t="s">
        <v>32</v>
      </c>
      <c r="J724" s="33" t="s">
        <v>148</v>
      </c>
      <c r="M724" t="s">
        <v>53</v>
      </c>
      <c r="N724">
        <v>0</v>
      </c>
      <c r="R724" t="s">
        <v>74</v>
      </c>
      <c r="S724">
        <v>8</v>
      </c>
    </row>
    <row r="725" spans="1:19" x14ac:dyDescent="0.25">
      <c r="A725" t="s">
        <v>54</v>
      </c>
      <c r="B725">
        <v>1</v>
      </c>
      <c r="C725" t="s">
        <v>30</v>
      </c>
      <c r="D725" t="s">
        <v>55</v>
      </c>
      <c r="E725" s="2">
        <v>6</v>
      </c>
      <c r="F725">
        <v>0</v>
      </c>
      <c r="G725">
        <v>6</v>
      </c>
      <c r="H725">
        <v>0.8</v>
      </c>
      <c r="I725" t="s">
        <v>32</v>
      </c>
      <c r="J725" s="33" t="s">
        <v>148</v>
      </c>
      <c r="M725" t="s">
        <v>53</v>
      </c>
      <c r="N725">
        <v>42</v>
      </c>
      <c r="R725" t="s">
        <v>74</v>
      </c>
      <c r="S725">
        <v>59</v>
      </c>
    </row>
    <row r="726" spans="1:19" x14ac:dyDescent="0.25">
      <c r="A726" t="s">
        <v>54</v>
      </c>
      <c r="B726">
        <v>1</v>
      </c>
      <c r="C726" t="s">
        <v>30</v>
      </c>
      <c r="D726" t="s">
        <v>55</v>
      </c>
      <c r="E726" s="2">
        <v>6</v>
      </c>
      <c r="F726">
        <v>6</v>
      </c>
      <c r="G726">
        <v>0</v>
      </c>
      <c r="H726">
        <v>0</v>
      </c>
      <c r="I726" t="s">
        <v>32</v>
      </c>
      <c r="J726" s="33" t="s">
        <v>148</v>
      </c>
      <c r="M726" t="s">
        <v>53</v>
      </c>
      <c r="N726">
        <v>131</v>
      </c>
      <c r="R726" t="s">
        <v>74</v>
      </c>
      <c r="S726">
        <v>57</v>
      </c>
    </row>
    <row r="727" spans="1:19" x14ac:dyDescent="0.25">
      <c r="A727" t="s">
        <v>54</v>
      </c>
      <c r="B727">
        <v>4</v>
      </c>
      <c r="C727" t="s">
        <v>30</v>
      </c>
      <c r="D727" t="s">
        <v>61</v>
      </c>
      <c r="E727" s="2">
        <v>6</v>
      </c>
      <c r="F727">
        <v>6</v>
      </c>
      <c r="G727">
        <v>0</v>
      </c>
      <c r="H727">
        <v>0</v>
      </c>
      <c r="I727" t="s">
        <v>32</v>
      </c>
      <c r="J727" s="33" t="s">
        <v>148</v>
      </c>
      <c r="M727" t="s">
        <v>53</v>
      </c>
      <c r="N727">
        <v>162</v>
      </c>
      <c r="R727" t="s">
        <v>74</v>
      </c>
      <c r="S727">
        <v>83</v>
      </c>
    </row>
    <row r="728" spans="1:19" x14ac:dyDescent="0.25">
      <c r="A728" t="s">
        <v>54</v>
      </c>
      <c r="B728">
        <v>4</v>
      </c>
      <c r="C728" t="s">
        <v>30</v>
      </c>
      <c r="D728" t="s">
        <v>61</v>
      </c>
      <c r="E728" s="2">
        <v>6</v>
      </c>
      <c r="F728">
        <v>0</v>
      </c>
      <c r="G728">
        <v>6</v>
      </c>
      <c r="H728">
        <v>7.3</v>
      </c>
      <c r="I728" t="s">
        <v>32</v>
      </c>
      <c r="J728" s="33" t="s">
        <v>148</v>
      </c>
      <c r="M728" t="s">
        <v>53</v>
      </c>
      <c r="N728">
        <v>36</v>
      </c>
      <c r="R728" t="s">
        <v>74</v>
      </c>
      <c r="S728">
        <v>0</v>
      </c>
    </row>
    <row r="729" spans="1:19" x14ac:dyDescent="0.25">
      <c r="A729" t="s">
        <v>54</v>
      </c>
      <c r="B729">
        <v>4</v>
      </c>
      <c r="C729" t="s">
        <v>30</v>
      </c>
      <c r="D729" t="s">
        <v>61</v>
      </c>
      <c r="E729" s="2">
        <v>6</v>
      </c>
      <c r="F729">
        <v>0</v>
      </c>
      <c r="G729">
        <v>6</v>
      </c>
      <c r="H729">
        <v>10.3</v>
      </c>
      <c r="I729" t="s">
        <v>32</v>
      </c>
      <c r="J729" s="33" t="s">
        <v>148</v>
      </c>
      <c r="M729" t="s">
        <v>53</v>
      </c>
      <c r="N729">
        <v>82</v>
      </c>
      <c r="R729" t="s">
        <v>74</v>
      </c>
      <c r="S729">
        <v>6</v>
      </c>
    </row>
    <row r="730" spans="1:19" x14ac:dyDescent="0.25">
      <c r="A730" t="s">
        <v>54</v>
      </c>
      <c r="B730">
        <v>4</v>
      </c>
      <c r="C730" t="s">
        <v>30</v>
      </c>
      <c r="D730" t="s">
        <v>61</v>
      </c>
      <c r="E730" s="2">
        <v>6</v>
      </c>
      <c r="F730">
        <v>0</v>
      </c>
      <c r="G730">
        <v>6</v>
      </c>
      <c r="H730">
        <v>6.3</v>
      </c>
      <c r="I730" t="s">
        <v>32</v>
      </c>
      <c r="J730" s="33" t="s">
        <v>148</v>
      </c>
      <c r="M730" t="s">
        <v>53</v>
      </c>
      <c r="N730">
        <v>83</v>
      </c>
      <c r="R730" t="s">
        <v>74</v>
      </c>
      <c r="S730">
        <v>19</v>
      </c>
    </row>
    <row r="731" spans="1:19" x14ac:dyDescent="0.25">
      <c r="A731" t="s">
        <v>54</v>
      </c>
      <c r="B731">
        <v>4</v>
      </c>
      <c r="C731" t="s">
        <v>34</v>
      </c>
      <c r="D731" t="s">
        <v>62</v>
      </c>
      <c r="E731" s="2">
        <v>6</v>
      </c>
      <c r="F731">
        <v>0</v>
      </c>
      <c r="G731">
        <v>6</v>
      </c>
      <c r="H731">
        <v>9.3000000000000007</v>
      </c>
      <c r="I731" t="s">
        <v>32</v>
      </c>
      <c r="J731" s="33" t="s">
        <v>148</v>
      </c>
      <c r="M731" t="s">
        <v>53</v>
      </c>
      <c r="N731">
        <v>95</v>
      </c>
      <c r="R731" t="s">
        <v>74</v>
      </c>
      <c r="S731">
        <v>20</v>
      </c>
    </row>
    <row r="732" spans="1:19" x14ac:dyDescent="0.25">
      <c r="A732" t="s">
        <v>54</v>
      </c>
      <c r="B732">
        <v>4</v>
      </c>
      <c r="C732" t="s">
        <v>34</v>
      </c>
      <c r="D732" t="s">
        <v>62</v>
      </c>
      <c r="E732" s="2">
        <v>6</v>
      </c>
      <c r="F732">
        <v>6</v>
      </c>
      <c r="G732">
        <v>0</v>
      </c>
      <c r="H732">
        <v>0</v>
      </c>
      <c r="I732" t="s">
        <v>32</v>
      </c>
      <c r="J732" s="33" t="s">
        <v>148</v>
      </c>
      <c r="M732" t="s">
        <v>53</v>
      </c>
      <c r="N732">
        <v>92</v>
      </c>
      <c r="R732" t="s">
        <v>74</v>
      </c>
      <c r="S732">
        <v>8</v>
      </c>
    </row>
    <row r="733" spans="1:19" x14ac:dyDescent="0.25">
      <c r="A733" t="s">
        <v>54</v>
      </c>
      <c r="B733">
        <v>4</v>
      </c>
      <c r="C733" t="s">
        <v>34</v>
      </c>
      <c r="D733" t="s">
        <v>62</v>
      </c>
      <c r="E733" s="2">
        <v>6</v>
      </c>
      <c r="F733">
        <v>0</v>
      </c>
      <c r="G733">
        <v>6</v>
      </c>
      <c r="H733">
        <v>2.2999999999999998</v>
      </c>
      <c r="I733" t="s">
        <v>32</v>
      </c>
      <c r="J733" s="33" t="s">
        <v>148</v>
      </c>
      <c r="M733" t="s">
        <v>53</v>
      </c>
      <c r="N733">
        <v>8</v>
      </c>
      <c r="R733" t="s">
        <v>74</v>
      </c>
      <c r="S733">
        <v>0</v>
      </c>
    </row>
    <row r="734" spans="1:19" x14ac:dyDescent="0.25">
      <c r="A734" t="s">
        <v>63</v>
      </c>
      <c r="B734">
        <v>5</v>
      </c>
      <c r="C734" t="s">
        <v>30</v>
      </c>
      <c r="D734" t="s">
        <v>64</v>
      </c>
      <c r="E734" s="2">
        <v>6</v>
      </c>
      <c r="F734">
        <v>6</v>
      </c>
      <c r="G734">
        <v>0</v>
      </c>
      <c r="H734">
        <v>0</v>
      </c>
      <c r="I734" t="s">
        <v>32</v>
      </c>
      <c r="J734" s="33" t="s">
        <v>148</v>
      </c>
      <c r="M734" t="s">
        <v>53</v>
      </c>
      <c r="N734">
        <v>50</v>
      </c>
      <c r="R734" t="s">
        <v>74</v>
      </c>
      <c r="S734">
        <v>0</v>
      </c>
    </row>
    <row r="735" spans="1:19" x14ac:dyDescent="0.25">
      <c r="A735" t="s">
        <v>63</v>
      </c>
      <c r="B735">
        <v>5</v>
      </c>
      <c r="C735" t="s">
        <v>34</v>
      </c>
      <c r="D735" t="s">
        <v>65</v>
      </c>
      <c r="E735" s="2">
        <v>6</v>
      </c>
      <c r="F735">
        <v>6</v>
      </c>
      <c r="G735">
        <v>0</v>
      </c>
      <c r="H735">
        <v>0</v>
      </c>
      <c r="I735" t="s">
        <v>32</v>
      </c>
      <c r="J735" s="33" t="s">
        <v>148</v>
      </c>
      <c r="M735" t="s">
        <v>53</v>
      </c>
      <c r="N735">
        <v>0</v>
      </c>
      <c r="R735" t="s">
        <v>74</v>
      </c>
      <c r="S735">
        <v>6</v>
      </c>
    </row>
    <row r="736" spans="1:19" x14ac:dyDescent="0.25">
      <c r="A736" t="s">
        <v>63</v>
      </c>
      <c r="B736">
        <v>5</v>
      </c>
      <c r="C736" t="s">
        <v>34</v>
      </c>
      <c r="D736" t="s">
        <v>65</v>
      </c>
      <c r="E736" s="2">
        <v>6</v>
      </c>
      <c r="F736">
        <v>6</v>
      </c>
      <c r="G736">
        <v>0</v>
      </c>
      <c r="H736">
        <v>0</v>
      </c>
      <c r="I736" t="s">
        <v>32</v>
      </c>
      <c r="J736" s="33" t="s">
        <v>148</v>
      </c>
      <c r="M736" t="s">
        <v>53</v>
      </c>
      <c r="N736">
        <v>75</v>
      </c>
      <c r="R736" t="s">
        <v>74</v>
      </c>
      <c r="S736">
        <v>76</v>
      </c>
    </row>
    <row r="737" spans="1:19" x14ac:dyDescent="0.25">
      <c r="A737" t="s">
        <v>63</v>
      </c>
      <c r="B737">
        <v>5</v>
      </c>
      <c r="C737" t="s">
        <v>34</v>
      </c>
      <c r="D737" t="s">
        <v>65</v>
      </c>
      <c r="E737" s="2">
        <v>6</v>
      </c>
      <c r="F737">
        <v>0</v>
      </c>
      <c r="G737">
        <v>6</v>
      </c>
      <c r="H737">
        <v>1.2</v>
      </c>
      <c r="I737" t="s">
        <v>32</v>
      </c>
      <c r="J737" s="33" t="s">
        <v>148</v>
      </c>
      <c r="M737" t="s">
        <v>53</v>
      </c>
      <c r="N737">
        <v>7</v>
      </c>
      <c r="R737" t="s">
        <v>74</v>
      </c>
      <c r="S737">
        <v>160</v>
      </c>
    </row>
    <row r="738" spans="1:19" x14ac:dyDescent="0.25">
      <c r="A738" t="s">
        <v>63</v>
      </c>
      <c r="B738">
        <v>5</v>
      </c>
      <c r="C738" t="s">
        <v>34</v>
      </c>
      <c r="D738" t="s">
        <v>65</v>
      </c>
      <c r="E738" s="2">
        <v>6</v>
      </c>
      <c r="F738">
        <v>0</v>
      </c>
      <c r="G738">
        <v>6</v>
      </c>
      <c r="H738">
        <v>1.5</v>
      </c>
      <c r="I738" t="s">
        <v>32</v>
      </c>
      <c r="J738" s="33" t="s">
        <v>148</v>
      </c>
      <c r="M738" t="s">
        <v>53</v>
      </c>
      <c r="N738">
        <v>0</v>
      </c>
      <c r="R738" t="s">
        <v>74</v>
      </c>
      <c r="S738">
        <v>92</v>
      </c>
    </row>
    <row r="739" spans="1:19" x14ac:dyDescent="0.25">
      <c r="A739" t="s">
        <v>63</v>
      </c>
      <c r="B739">
        <v>5</v>
      </c>
      <c r="C739" t="s">
        <v>34</v>
      </c>
      <c r="D739" t="s">
        <v>65</v>
      </c>
      <c r="E739" s="2">
        <v>6</v>
      </c>
      <c r="F739">
        <v>0</v>
      </c>
      <c r="G739">
        <v>6</v>
      </c>
      <c r="H739">
        <v>3.2</v>
      </c>
      <c r="I739" t="s">
        <v>32</v>
      </c>
      <c r="J739" s="33" t="s">
        <v>148</v>
      </c>
      <c r="M739" t="s">
        <v>53</v>
      </c>
      <c r="N739">
        <v>71</v>
      </c>
      <c r="R739" t="s">
        <v>74</v>
      </c>
      <c r="S739">
        <v>42</v>
      </c>
    </row>
    <row r="740" spans="1:19" x14ac:dyDescent="0.25">
      <c r="A740" t="s">
        <v>63</v>
      </c>
      <c r="B740">
        <v>5</v>
      </c>
      <c r="C740" t="s">
        <v>34</v>
      </c>
      <c r="D740" t="s">
        <v>65</v>
      </c>
      <c r="E740" s="2">
        <v>6</v>
      </c>
      <c r="F740">
        <v>6</v>
      </c>
      <c r="G740">
        <v>0</v>
      </c>
      <c r="H740">
        <v>0</v>
      </c>
      <c r="I740" t="s">
        <v>32</v>
      </c>
      <c r="J740" s="33" t="s">
        <v>148</v>
      </c>
      <c r="M740" t="s">
        <v>53</v>
      </c>
      <c r="N740">
        <v>0</v>
      </c>
      <c r="R740" t="s">
        <v>76</v>
      </c>
      <c r="S740">
        <v>106</v>
      </c>
    </row>
    <row r="741" spans="1:19" x14ac:dyDescent="0.25">
      <c r="A741" t="s">
        <v>63</v>
      </c>
      <c r="B741">
        <v>1</v>
      </c>
      <c r="C741" t="s">
        <v>30</v>
      </c>
      <c r="D741" t="s">
        <v>66</v>
      </c>
      <c r="E741" s="2">
        <v>6</v>
      </c>
      <c r="F741">
        <v>6</v>
      </c>
      <c r="G741">
        <v>0</v>
      </c>
      <c r="H741">
        <v>0</v>
      </c>
      <c r="I741" t="s">
        <v>32</v>
      </c>
      <c r="J741" s="33" t="s">
        <v>148</v>
      </c>
      <c r="M741" t="s">
        <v>53</v>
      </c>
      <c r="N741">
        <v>0</v>
      </c>
      <c r="R741" t="s">
        <v>76</v>
      </c>
      <c r="S741">
        <v>130</v>
      </c>
    </row>
    <row r="742" spans="1:19" x14ac:dyDescent="0.25">
      <c r="A742" t="s">
        <v>63</v>
      </c>
      <c r="B742">
        <v>1</v>
      </c>
      <c r="C742" t="s">
        <v>30</v>
      </c>
      <c r="D742" t="s">
        <v>66</v>
      </c>
      <c r="E742" s="2">
        <v>6</v>
      </c>
      <c r="F742">
        <v>0</v>
      </c>
      <c r="G742">
        <v>6</v>
      </c>
      <c r="H742">
        <v>5</v>
      </c>
      <c r="I742" t="s">
        <v>32</v>
      </c>
      <c r="J742" s="33" t="s">
        <v>148</v>
      </c>
      <c r="M742" t="s">
        <v>53</v>
      </c>
      <c r="N742">
        <v>0</v>
      </c>
      <c r="R742" t="s">
        <v>76</v>
      </c>
      <c r="S742">
        <v>60</v>
      </c>
    </row>
    <row r="743" spans="1:19" x14ac:dyDescent="0.25">
      <c r="A743" t="s">
        <v>63</v>
      </c>
      <c r="B743">
        <v>1</v>
      </c>
      <c r="C743" t="s">
        <v>34</v>
      </c>
      <c r="D743" t="s">
        <v>67</v>
      </c>
      <c r="E743" s="2">
        <v>6</v>
      </c>
      <c r="F743">
        <v>0</v>
      </c>
      <c r="G743">
        <v>6</v>
      </c>
      <c r="H743">
        <v>7</v>
      </c>
      <c r="I743" t="s">
        <v>32</v>
      </c>
      <c r="J743" s="33" t="s">
        <v>148</v>
      </c>
      <c r="M743" t="s">
        <v>53</v>
      </c>
      <c r="N743">
        <v>0</v>
      </c>
      <c r="R743" t="s">
        <v>76</v>
      </c>
      <c r="S743">
        <v>5</v>
      </c>
    </row>
    <row r="744" spans="1:19" x14ac:dyDescent="0.25">
      <c r="A744" t="s">
        <v>63</v>
      </c>
      <c r="B744">
        <v>1</v>
      </c>
      <c r="C744" t="s">
        <v>34</v>
      </c>
      <c r="D744" t="s">
        <v>67</v>
      </c>
      <c r="E744" s="2">
        <v>6</v>
      </c>
      <c r="F744">
        <v>6</v>
      </c>
      <c r="G744">
        <v>0</v>
      </c>
      <c r="H744">
        <v>0</v>
      </c>
      <c r="I744" t="s">
        <v>32</v>
      </c>
      <c r="J744" s="33" t="s">
        <v>148</v>
      </c>
      <c r="M744" t="s">
        <v>53</v>
      </c>
      <c r="N744">
        <v>87</v>
      </c>
      <c r="R744" t="s">
        <v>76</v>
      </c>
      <c r="S744">
        <v>44</v>
      </c>
    </row>
    <row r="745" spans="1:19" x14ac:dyDescent="0.25">
      <c r="A745" t="s">
        <v>68</v>
      </c>
      <c r="B745">
        <v>6</v>
      </c>
      <c r="C745" t="s">
        <v>34</v>
      </c>
      <c r="D745" t="s">
        <v>70</v>
      </c>
      <c r="E745" s="2">
        <v>6</v>
      </c>
      <c r="F745">
        <v>0</v>
      </c>
      <c r="G745">
        <v>6</v>
      </c>
      <c r="H745">
        <v>10.3</v>
      </c>
      <c r="I745" t="s">
        <v>32</v>
      </c>
      <c r="J745" s="33" t="s">
        <v>148</v>
      </c>
      <c r="M745" t="s">
        <v>53</v>
      </c>
      <c r="N745">
        <v>0</v>
      </c>
      <c r="R745" t="s">
        <v>76</v>
      </c>
      <c r="S745">
        <v>7</v>
      </c>
    </row>
    <row r="746" spans="1:19" x14ac:dyDescent="0.25">
      <c r="A746" t="s">
        <v>71</v>
      </c>
      <c r="B746">
        <v>10</v>
      </c>
      <c r="C746" t="s">
        <v>30</v>
      </c>
      <c r="D746" t="s">
        <v>74</v>
      </c>
      <c r="E746" s="2">
        <v>6</v>
      </c>
      <c r="F746">
        <v>0</v>
      </c>
      <c r="G746">
        <v>6</v>
      </c>
      <c r="H746">
        <v>4.5</v>
      </c>
      <c r="I746" t="s">
        <v>32</v>
      </c>
      <c r="J746" s="33" t="s">
        <v>148</v>
      </c>
      <c r="M746" t="s">
        <v>53</v>
      </c>
      <c r="N746">
        <v>0</v>
      </c>
      <c r="R746" t="s">
        <v>76</v>
      </c>
      <c r="S746">
        <v>123</v>
      </c>
    </row>
    <row r="747" spans="1:19" x14ac:dyDescent="0.25">
      <c r="A747" t="s">
        <v>71</v>
      </c>
      <c r="B747">
        <v>10</v>
      </c>
      <c r="C747" t="s">
        <v>30</v>
      </c>
      <c r="D747" t="s">
        <v>74</v>
      </c>
      <c r="E747" s="2">
        <v>6</v>
      </c>
      <c r="F747">
        <v>0</v>
      </c>
      <c r="G747">
        <v>6</v>
      </c>
      <c r="H747">
        <v>1.8</v>
      </c>
      <c r="I747" t="s">
        <v>32</v>
      </c>
      <c r="J747" s="33" t="s">
        <v>148</v>
      </c>
      <c r="M747" t="s">
        <v>53</v>
      </c>
      <c r="N747">
        <v>0</v>
      </c>
      <c r="R747" t="s">
        <v>76</v>
      </c>
      <c r="S747">
        <v>178</v>
      </c>
    </row>
    <row r="748" spans="1:19" x14ac:dyDescent="0.25">
      <c r="A748" t="s">
        <v>71</v>
      </c>
      <c r="B748">
        <v>10</v>
      </c>
      <c r="C748" t="s">
        <v>34</v>
      </c>
      <c r="D748" t="s">
        <v>75</v>
      </c>
      <c r="E748" s="2">
        <v>6</v>
      </c>
      <c r="F748">
        <v>6</v>
      </c>
      <c r="G748">
        <v>0</v>
      </c>
      <c r="H748">
        <v>0</v>
      </c>
      <c r="I748" t="s">
        <v>32</v>
      </c>
      <c r="J748" s="33" t="s">
        <v>148</v>
      </c>
      <c r="M748" t="s">
        <v>53</v>
      </c>
      <c r="N748">
        <v>0</v>
      </c>
      <c r="R748" t="s">
        <v>76</v>
      </c>
      <c r="S748">
        <v>25</v>
      </c>
    </row>
    <row r="749" spans="1:19" x14ac:dyDescent="0.25">
      <c r="A749" t="s">
        <v>71</v>
      </c>
      <c r="B749">
        <v>10</v>
      </c>
      <c r="C749" t="s">
        <v>34</v>
      </c>
      <c r="D749" t="s">
        <v>75</v>
      </c>
      <c r="E749" s="2">
        <v>6</v>
      </c>
      <c r="F749">
        <v>0</v>
      </c>
      <c r="G749">
        <v>6</v>
      </c>
      <c r="H749">
        <v>4.4000000000000004</v>
      </c>
      <c r="I749" t="s">
        <v>32</v>
      </c>
      <c r="J749" s="33" t="s">
        <v>148</v>
      </c>
      <c r="M749" t="s">
        <v>53</v>
      </c>
      <c r="N749">
        <v>0</v>
      </c>
      <c r="R749" t="s">
        <v>76</v>
      </c>
      <c r="S749">
        <v>63</v>
      </c>
    </row>
    <row r="750" spans="1:19" x14ac:dyDescent="0.25">
      <c r="A750" t="s">
        <v>71</v>
      </c>
      <c r="B750">
        <v>10</v>
      </c>
      <c r="C750" t="s">
        <v>34</v>
      </c>
      <c r="D750" t="s">
        <v>75</v>
      </c>
      <c r="E750" s="2">
        <v>6</v>
      </c>
      <c r="F750">
        <v>6</v>
      </c>
      <c r="G750">
        <v>0</v>
      </c>
      <c r="H750">
        <v>0</v>
      </c>
      <c r="I750" t="s">
        <v>32</v>
      </c>
      <c r="J750" s="33" t="s">
        <v>148</v>
      </c>
      <c r="M750" t="s">
        <v>53</v>
      </c>
      <c r="N750">
        <v>0</v>
      </c>
      <c r="R750" t="s">
        <v>76</v>
      </c>
      <c r="S750">
        <v>75</v>
      </c>
    </row>
    <row r="751" spans="1:19" x14ac:dyDescent="0.25">
      <c r="A751" t="s">
        <v>71</v>
      </c>
      <c r="B751">
        <v>11</v>
      </c>
      <c r="C751" t="s">
        <v>30</v>
      </c>
      <c r="D751" t="s">
        <v>76</v>
      </c>
      <c r="E751" s="2">
        <v>6</v>
      </c>
      <c r="F751">
        <v>0</v>
      </c>
      <c r="G751">
        <v>6</v>
      </c>
      <c r="H751">
        <v>3.7</v>
      </c>
      <c r="I751" t="s">
        <v>32</v>
      </c>
      <c r="J751" s="33" t="s">
        <v>148</v>
      </c>
      <c r="M751" t="s">
        <v>53</v>
      </c>
      <c r="N751">
        <v>0</v>
      </c>
      <c r="R751" t="s">
        <v>76</v>
      </c>
      <c r="S751">
        <v>123</v>
      </c>
    </row>
    <row r="752" spans="1:19" x14ac:dyDescent="0.25">
      <c r="A752" t="s">
        <v>71</v>
      </c>
      <c r="B752">
        <v>11</v>
      </c>
      <c r="C752" t="s">
        <v>30</v>
      </c>
      <c r="D752" t="s">
        <v>76</v>
      </c>
      <c r="E752" s="2">
        <v>6</v>
      </c>
      <c r="F752">
        <v>0</v>
      </c>
      <c r="G752">
        <v>6</v>
      </c>
      <c r="H752">
        <v>7</v>
      </c>
      <c r="I752" t="s">
        <v>32</v>
      </c>
      <c r="J752" s="33" t="s">
        <v>148</v>
      </c>
      <c r="M752" t="s">
        <v>53</v>
      </c>
      <c r="N752">
        <v>0</v>
      </c>
      <c r="R752" t="s">
        <v>76</v>
      </c>
      <c r="S752">
        <v>60</v>
      </c>
    </row>
    <row r="753" spans="1:19" x14ac:dyDescent="0.25">
      <c r="A753" t="s">
        <v>71</v>
      </c>
      <c r="B753">
        <v>11</v>
      </c>
      <c r="C753" t="s">
        <v>30</v>
      </c>
      <c r="D753" t="s">
        <v>76</v>
      </c>
      <c r="E753" s="2">
        <v>6</v>
      </c>
      <c r="F753">
        <v>6</v>
      </c>
      <c r="G753">
        <v>0</v>
      </c>
      <c r="H753">
        <v>0</v>
      </c>
      <c r="I753" t="s">
        <v>32</v>
      </c>
      <c r="J753" s="33" t="s">
        <v>148</v>
      </c>
      <c r="M753" t="s">
        <v>53</v>
      </c>
      <c r="N753">
        <v>106</v>
      </c>
      <c r="R753" t="s">
        <v>76</v>
      </c>
      <c r="S753">
        <v>134</v>
      </c>
    </row>
    <row r="754" spans="1:19" x14ac:dyDescent="0.25">
      <c r="A754" t="s">
        <v>71</v>
      </c>
      <c r="B754">
        <v>11</v>
      </c>
      <c r="C754" t="s">
        <v>34</v>
      </c>
      <c r="D754" t="s">
        <v>77</v>
      </c>
      <c r="E754" s="2">
        <v>6</v>
      </c>
      <c r="F754">
        <v>0</v>
      </c>
      <c r="G754">
        <v>6</v>
      </c>
      <c r="H754">
        <v>12.6</v>
      </c>
      <c r="I754" t="s">
        <v>32</v>
      </c>
      <c r="J754" s="33" t="s">
        <v>148</v>
      </c>
      <c r="M754" t="s">
        <v>53</v>
      </c>
      <c r="N754">
        <v>213</v>
      </c>
      <c r="R754" t="s">
        <v>76</v>
      </c>
      <c r="S754">
        <v>135</v>
      </c>
    </row>
    <row r="755" spans="1:19" x14ac:dyDescent="0.25">
      <c r="A755" t="s">
        <v>29</v>
      </c>
      <c r="B755">
        <v>1</v>
      </c>
      <c r="C755" t="s">
        <v>30</v>
      </c>
      <c r="D755" t="s">
        <v>31</v>
      </c>
      <c r="E755" s="2">
        <v>7</v>
      </c>
      <c r="F755">
        <v>0</v>
      </c>
      <c r="G755">
        <v>7</v>
      </c>
      <c r="H755">
        <v>3.8</v>
      </c>
      <c r="I755" t="s">
        <v>32</v>
      </c>
      <c r="J755" s="33" t="s">
        <v>148</v>
      </c>
      <c r="M755" t="s">
        <v>53</v>
      </c>
      <c r="N755">
        <v>0</v>
      </c>
      <c r="R755" t="s">
        <v>76</v>
      </c>
      <c r="S755">
        <v>82</v>
      </c>
    </row>
    <row r="756" spans="1:19" x14ac:dyDescent="0.25">
      <c r="A756" t="s">
        <v>29</v>
      </c>
      <c r="B756">
        <v>1</v>
      </c>
      <c r="C756" t="s">
        <v>30</v>
      </c>
      <c r="D756" t="s">
        <v>31</v>
      </c>
      <c r="E756" s="2">
        <v>7</v>
      </c>
      <c r="F756">
        <v>0</v>
      </c>
      <c r="G756">
        <v>7</v>
      </c>
      <c r="H756">
        <v>3.4</v>
      </c>
      <c r="I756" t="s">
        <v>32</v>
      </c>
      <c r="J756" s="33" t="s">
        <v>148</v>
      </c>
      <c r="M756" t="s">
        <v>53</v>
      </c>
      <c r="N756">
        <v>0</v>
      </c>
      <c r="R756" t="s">
        <v>76</v>
      </c>
      <c r="S756">
        <v>95</v>
      </c>
    </row>
    <row r="757" spans="1:19" x14ac:dyDescent="0.25">
      <c r="A757" t="s">
        <v>29</v>
      </c>
      <c r="B757">
        <v>1</v>
      </c>
      <c r="C757" t="s">
        <v>34</v>
      </c>
      <c r="D757" t="s">
        <v>35</v>
      </c>
      <c r="E757" s="2">
        <v>7</v>
      </c>
      <c r="F757">
        <v>0</v>
      </c>
      <c r="G757">
        <v>7</v>
      </c>
      <c r="H757">
        <v>6.5</v>
      </c>
      <c r="I757" t="s">
        <v>32</v>
      </c>
      <c r="J757" s="33" t="s">
        <v>148</v>
      </c>
      <c r="M757" t="s">
        <v>53</v>
      </c>
      <c r="N757">
        <v>0</v>
      </c>
      <c r="R757" t="s">
        <v>76</v>
      </c>
      <c r="S757">
        <v>61</v>
      </c>
    </row>
    <row r="758" spans="1:19" x14ac:dyDescent="0.25">
      <c r="A758" t="s">
        <v>29</v>
      </c>
      <c r="B758">
        <v>1</v>
      </c>
      <c r="C758" t="s">
        <v>34</v>
      </c>
      <c r="D758" t="s">
        <v>35</v>
      </c>
      <c r="E758" s="2">
        <v>7</v>
      </c>
      <c r="F758">
        <v>0</v>
      </c>
      <c r="G758">
        <v>7</v>
      </c>
      <c r="H758">
        <v>3.2</v>
      </c>
      <c r="I758" t="s">
        <v>32</v>
      </c>
      <c r="J758" s="33" t="s">
        <v>148</v>
      </c>
      <c r="M758" t="s">
        <v>53</v>
      </c>
      <c r="N758">
        <v>138</v>
      </c>
      <c r="R758" t="s">
        <v>76</v>
      </c>
      <c r="S758">
        <v>29</v>
      </c>
    </row>
    <row r="759" spans="1:19" x14ac:dyDescent="0.25">
      <c r="A759" t="s">
        <v>29</v>
      </c>
      <c r="B759">
        <v>1</v>
      </c>
      <c r="C759" t="s">
        <v>34</v>
      </c>
      <c r="D759" t="s">
        <v>35</v>
      </c>
      <c r="E759" s="2">
        <v>7</v>
      </c>
      <c r="F759">
        <v>7</v>
      </c>
      <c r="G759">
        <v>0</v>
      </c>
      <c r="H759">
        <v>0</v>
      </c>
      <c r="I759" t="s">
        <v>32</v>
      </c>
      <c r="J759" s="33" t="s">
        <v>148</v>
      </c>
      <c r="M759" t="s">
        <v>53</v>
      </c>
      <c r="N759">
        <v>63</v>
      </c>
      <c r="R759" t="s">
        <v>76</v>
      </c>
      <c r="S759">
        <v>146</v>
      </c>
    </row>
    <row r="760" spans="1:19" x14ac:dyDescent="0.25">
      <c r="A760" t="s">
        <v>29</v>
      </c>
      <c r="B760">
        <v>1</v>
      </c>
      <c r="C760" t="s">
        <v>34</v>
      </c>
      <c r="D760" t="s">
        <v>35</v>
      </c>
      <c r="E760" s="2">
        <v>7</v>
      </c>
      <c r="F760">
        <v>0</v>
      </c>
      <c r="G760">
        <v>7</v>
      </c>
      <c r="H760">
        <v>3.6</v>
      </c>
      <c r="I760" t="s">
        <v>32</v>
      </c>
      <c r="J760" s="33" t="s">
        <v>148</v>
      </c>
      <c r="M760" t="s">
        <v>53</v>
      </c>
      <c r="N760">
        <v>0</v>
      </c>
      <c r="R760" t="s">
        <v>76</v>
      </c>
      <c r="S760">
        <v>89</v>
      </c>
    </row>
    <row r="761" spans="1:19" x14ac:dyDescent="0.25">
      <c r="A761" t="s">
        <v>29</v>
      </c>
      <c r="B761">
        <v>2</v>
      </c>
      <c r="C761" t="s">
        <v>30</v>
      </c>
      <c r="D761" t="s">
        <v>36</v>
      </c>
      <c r="E761" s="2">
        <v>7</v>
      </c>
      <c r="F761">
        <v>0</v>
      </c>
      <c r="G761">
        <v>7</v>
      </c>
      <c r="H761">
        <v>7.1</v>
      </c>
      <c r="I761" t="s">
        <v>32</v>
      </c>
      <c r="J761" s="33" t="s">
        <v>148</v>
      </c>
      <c r="M761" t="s">
        <v>53</v>
      </c>
      <c r="N761">
        <v>0</v>
      </c>
      <c r="R761" t="s">
        <v>76</v>
      </c>
      <c r="S761">
        <v>176</v>
      </c>
    </row>
    <row r="762" spans="1:19" x14ac:dyDescent="0.25">
      <c r="A762" t="s">
        <v>29</v>
      </c>
      <c r="B762">
        <v>2</v>
      </c>
      <c r="C762" t="s">
        <v>30</v>
      </c>
      <c r="D762" t="s">
        <v>36</v>
      </c>
      <c r="E762" s="2">
        <v>7</v>
      </c>
      <c r="F762">
        <v>0</v>
      </c>
      <c r="G762">
        <v>7</v>
      </c>
      <c r="H762">
        <v>5</v>
      </c>
      <c r="I762" t="s">
        <v>32</v>
      </c>
      <c r="J762" s="33" t="s">
        <v>148</v>
      </c>
      <c r="M762" t="s">
        <v>53</v>
      </c>
      <c r="N762">
        <v>0</v>
      </c>
      <c r="R762" t="s">
        <v>76</v>
      </c>
      <c r="S762">
        <v>100</v>
      </c>
    </row>
    <row r="763" spans="1:19" x14ac:dyDescent="0.25">
      <c r="A763" t="s">
        <v>29</v>
      </c>
      <c r="B763">
        <v>2</v>
      </c>
      <c r="C763" t="s">
        <v>30</v>
      </c>
      <c r="D763" t="s">
        <v>36</v>
      </c>
      <c r="E763" s="2">
        <v>7</v>
      </c>
      <c r="F763">
        <v>0</v>
      </c>
      <c r="G763">
        <v>7</v>
      </c>
      <c r="H763">
        <v>1.6</v>
      </c>
      <c r="I763" t="s">
        <v>32</v>
      </c>
      <c r="J763" s="33" t="s">
        <v>148</v>
      </c>
      <c r="M763" t="s">
        <v>62</v>
      </c>
      <c r="N763">
        <v>18</v>
      </c>
      <c r="R763" t="s">
        <v>76</v>
      </c>
      <c r="S763">
        <v>27</v>
      </c>
    </row>
    <row r="764" spans="1:19" x14ac:dyDescent="0.25">
      <c r="A764" t="s">
        <v>29</v>
      </c>
      <c r="B764">
        <v>2</v>
      </c>
      <c r="C764" t="s">
        <v>34</v>
      </c>
      <c r="D764" t="s">
        <v>37</v>
      </c>
      <c r="E764" s="2">
        <v>7</v>
      </c>
      <c r="F764">
        <v>7</v>
      </c>
      <c r="G764">
        <v>0</v>
      </c>
      <c r="H764">
        <v>0</v>
      </c>
      <c r="I764" t="s">
        <v>32</v>
      </c>
      <c r="J764" s="33" t="s">
        <v>148</v>
      </c>
      <c r="M764" t="s">
        <v>62</v>
      </c>
      <c r="N764">
        <v>90</v>
      </c>
      <c r="R764" t="s">
        <v>76</v>
      </c>
      <c r="S764">
        <v>6</v>
      </c>
    </row>
    <row r="765" spans="1:19" x14ac:dyDescent="0.25">
      <c r="A765" t="s">
        <v>29</v>
      </c>
      <c r="B765">
        <v>3</v>
      </c>
      <c r="C765" t="s">
        <v>30</v>
      </c>
      <c r="D765" t="s">
        <v>38</v>
      </c>
      <c r="E765" s="2">
        <v>7</v>
      </c>
      <c r="F765">
        <v>0</v>
      </c>
      <c r="G765">
        <v>7</v>
      </c>
      <c r="H765">
        <v>3.5</v>
      </c>
      <c r="I765" t="s">
        <v>32</v>
      </c>
      <c r="J765" s="33" t="s">
        <v>148</v>
      </c>
      <c r="M765" t="s">
        <v>62</v>
      </c>
      <c r="N765">
        <v>6</v>
      </c>
      <c r="R765" t="s">
        <v>76</v>
      </c>
      <c r="S765">
        <v>14</v>
      </c>
    </row>
    <row r="766" spans="1:19" x14ac:dyDescent="0.25">
      <c r="A766" t="s">
        <v>29</v>
      </c>
      <c r="B766">
        <v>3</v>
      </c>
      <c r="C766" t="s">
        <v>30</v>
      </c>
      <c r="D766" t="s">
        <v>38</v>
      </c>
      <c r="E766" s="2">
        <v>7</v>
      </c>
      <c r="F766">
        <v>0</v>
      </c>
      <c r="G766">
        <v>7</v>
      </c>
      <c r="H766">
        <v>11.8</v>
      </c>
      <c r="I766" t="s">
        <v>32</v>
      </c>
      <c r="J766" s="33" t="s">
        <v>148</v>
      </c>
      <c r="M766" t="s">
        <v>62</v>
      </c>
      <c r="N766">
        <v>35</v>
      </c>
      <c r="R766" t="s">
        <v>76</v>
      </c>
      <c r="S766">
        <v>19</v>
      </c>
    </row>
    <row r="767" spans="1:19" x14ac:dyDescent="0.25">
      <c r="A767" t="s">
        <v>29</v>
      </c>
      <c r="B767">
        <v>3</v>
      </c>
      <c r="C767" t="s">
        <v>30</v>
      </c>
      <c r="D767" t="s">
        <v>38</v>
      </c>
      <c r="E767" s="2">
        <v>7</v>
      </c>
      <c r="F767">
        <v>0</v>
      </c>
      <c r="G767">
        <v>7</v>
      </c>
      <c r="H767">
        <v>8.5</v>
      </c>
      <c r="I767" t="s">
        <v>32</v>
      </c>
      <c r="J767" s="33" t="s">
        <v>148</v>
      </c>
      <c r="M767" t="s">
        <v>62</v>
      </c>
      <c r="N767">
        <v>6</v>
      </c>
      <c r="R767" t="s">
        <v>76</v>
      </c>
      <c r="S767">
        <v>113</v>
      </c>
    </row>
    <row r="768" spans="1:19" x14ac:dyDescent="0.25">
      <c r="A768" t="s">
        <v>29</v>
      </c>
      <c r="B768">
        <v>3</v>
      </c>
      <c r="C768" t="s">
        <v>34</v>
      </c>
      <c r="D768" t="s">
        <v>39</v>
      </c>
      <c r="E768" s="2">
        <v>7</v>
      </c>
      <c r="F768">
        <v>0</v>
      </c>
      <c r="G768">
        <v>7</v>
      </c>
      <c r="H768">
        <v>14.2</v>
      </c>
      <c r="I768" t="s">
        <v>32</v>
      </c>
      <c r="J768" s="33" t="s">
        <v>148</v>
      </c>
      <c r="M768" t="s">
        <v>62</v>
      </c>
      <c r="N768">
        <v>41</v>
      </c>
      <c r="R768" t="s">
        <v>76</v>
      </c>
      <c r="S768">
        <v>60</v>
      </c>
    </row>
    <row r="769" spans="1:19" x14ac:dyDescent="0.25">
      <c r="A769" t="s">
        <v>29</v>
      </c>
      <c r="B769">
        <v>3</v>
      </c>
      <c r="C769" t="s">
        <v>34</v>
      </c>
      <c r="D769" t="s">
        <v>39</v>
      </c>
      <c r="E769" s="2">
        <v>7</v>
      </c>
      <c r="F769">
        <v>0</v>
      </c>
      <c r="G769">
        <v>7</v>
      </c>
      <c r="H769">
        <v>10</v>
      </c>
      <c r="I769" t="s">
        <v>32</v>
      </c>
      <c r="J769" s="33" t="s">
        <v>148</v>
      </c>
      <c r="M769" t="s">
        <v>62</v>
      </c>
      <c r="N769">
        <v>65</v>
      </c>
      <c r="R769" t="s">
        <v>76</v>
      </c>
      <c r="S769">
        <v>35</v>
      </c>
    </row>
    <row r="770" spans="1:19" x14ac:dyDescent="0.25">
      <c r="A770" t="s">
        <v>29</v>
      </c>
      <c r="B770">
        <v>4</v>
      </c>
      <c r="C770" t="s">
        <v>30</v>
      </c>
      <c r="D770" t="s">
        <v>40</v>
      </c>
      <c r="E770" s="2">
        <v>7</v>
      </c>
      <c r="F770">
        <v>0</v>
      </c>
      <c r="G770">
        <v>7</v>
      </c>
      <c r="H770">
        <v>7.4</v>
      </c>
      <c r="I770" t="s">
        <v>32</v>
      </c>
      <c r="J770" s="33" t="s">
        <v>148</v>
      </c>
      <c r="M770" t="s">
        <v>62</v>
      </c>
      <c r="N770">
        <v>0</v>
      </c>
      <c r="R770" t="s">
        <v>76</v>
      </c>
      <c r="S770">
        <v>96</v>
      </c>
    </row>
    <row r="771" spans="1:19" x14ac:dyDescent="0.25">
      <c r="A771" t="s">
        <v>29</v>
      </c>
      <c r="B771">
        <v>4</v>
      </c>
      <c r="C771" t="s">
        <v>30</v>
      </c>
      <c r="D771" t="s">
        <v>40</v>
      </c>
      <c r="E771" s="2">
        <v>7</v>
      </c>
      <c r="F771">
        <v>0</v>
      </c>
      <c r="G771">
        <v>7</v>
      </c>
      <c r="H771">
        <v>8</v>
      </c>
      <c r="I771" t="s">
        <v>32</v>
      </c>
      <c r="J771" s="33" t="s">
        <v>148</v>
      </c>
      <c r="M771" t="s">
        <v>62</v>
      </c>
      <c r="N771">
        <v>73</v>
      </c>
      <c r="R771" t="s">
        <v>76</v>
      </c>
      <c r="S771">
        <v>104</v>
      </c>
    </row>
    <row r="772" spans="1:19" x14ac:dyDescent="0.25">
      <c r="A772" t="s">
        <v>29</v>
      </c>
      <c r="B772">
        <v>4</v>
      </c>
      <c r="C772" t="s">
        <v>30</v>
      </c>
      <c r="D772" t="s">
        <v>40</v>
      </c>
      <c r="E772" s="2">
        <v>7</v>
      </c>
      <c r="F772">
        <v>7</v>
      </c>
      <c r="G772">
        <v>0</v>
      </c>
      <c r="H772">
        <v>0</v>
      </c>
      <c r="I772" t="s">
        <v>32</v>
      </c>
      <c r="J772" s="33" t="s">
        <v>148</v>
      </c>
      <c r="M772" t="s">
        <v>62</v>
      </c>
      <c r="N772">
        <v>0</v>
      </c>
      <c r="R772" t="s">
        <v>76</v>
      </c>
      <c r="S772">
        <v>13</v>
      </c>
    </row>
    <row r="773" spans="1:19" x14ac:dyDescent="0.25">
      <c r="A773" t="s">
        <v>29</v>
      </c>
      <c r="B773">
        <v>4</v>
      </c>
      <c r="C773" t="s">
        <v>30</v>
      </c>
      <c r="D773" t="s">
        <v>40</v>
      </c>
      <c r="E773" s="2">
        <v>7</v>
      </c>
      <c r="F773">
        <v>0</v>
      </c>
      <c r="G773">
        <v>7</v>
      </c>
      <c r="H773">
        <v>4.2</v>
      </c>
      <c r="I773" t="s">
        <v>32</v>
      </c>
      <c r="J773" s="33" t="s">
        <v>148</v>
      </c>
      <c r="M773" t="s">
        <v>62</v>
      </c>
      <c r="N773">
        <v>0</v>
      </c>
      <c r="R773" t="s">
        <v>76</v>
      </c>
      <c r="S773">
        <v>64</v>
      </c>
    </row>
    <row r="774" spans="1:19" x14ac:dyDescent="0.25">
      <c r="A774" t="s">
        <v>29</v>
      </c>
      <c r="B774">
        <v>4</v>
      </c>
      <c r="C774" t="s">
        <v>30</v>
      </c>
      <c r="D774" t="s">
        <v>40</v>
      </c>
      <c r="E774" s="2">
        <v>7</v>
      </c>
      <c r="F774">
        <v>0</v>
      </c>
      <c r="G774">
        <v>7</v>
      </c>
      <c r="H774">
        <v>6.3</v>
      </c>
      <c r="I774" t="s">
        <v>32</v>
      </c>
      <c r="J774" s="33" t="s">
        <v>148</v>
      </c>
      <c r="M774" t="s">
        <v>62</v>
      </c>
      <c r="N774">
        <v>23</v>
      </c>
      <c r="R774" t="s">
        <v>76</v>
      </c>
      <c r="S774">
        <v>71</v>
      </c>
    </row>
    <row r="775" spans="1:19" x14ac:dyDescent="0.25">
      <c r="A775" t="s">
        <v>42</v>
      </c>
      <c r="B775">
        <v>1</v>
      </c>
      <c r="C775" t="s">
        <v>30</v>
      </c>
      <c r="D775" t="s">
        <v>43</v>
      </c>
      <c r="E775" s="2">
        <v>7</v>
      </c>
      <c r="F775">
        <v>0</v>
      </c>
      <c r="G775">
        <v>7</v>
      </c>
      <c r="H775">
        <v>3</v>
      </c>
      <c r="I775" t="s">
        <v>32</v>
      </c>
      <c r="J775" s="33" t="s">
        <v>148</v>
      </c>
      <c r="M775" t="s">
        <v>62</v>
      </c>
      <c r="N775">
        <v>5</v>
      </c>
      <c r="R775" t="s">
        <v>76</v>
      </c>
      <c r="S775">
        <v>24</v>
      </c>
    </row>
    <row r="776" spans="1:19" x14ac:dyDescent="0.25">
      <c r="A776" t="s">
        <v>42</v>
      </c>
      <c r="B776">
        <v>1</v>
      </c>
      <c r="C776" t="s">
        <v>34</v>
      </c>
      <c r="D776" t="s">
        <v>44</v>
      </c>
      <c r="E776" s="2">
        <v>7</v>
      </c>
      <c r="F776">
        <v>0</v>
      </c>
      <c r="G776">
        <v>7</v>
      </c>
      <c r="H776">
        <v>7.3</v>
      </c>
      <c r="I776" t="s">
        <v>32</v>
      </c>
      <c r="J776" s="33" t="s">
        <v>148</v>
      </c>
      <c r="M776" t="s">
        <v>62</v>
      </c>
      <c r="N776">
        <v>66</v>
      </c>
      <c r="R776" t="s">
        <v>76</v>
      </c>
      <c r="S776">
        <v>6</v>
      </c>
    </row>
    <row r="777" spans="1:19" x14ac:dyDescent="0.25">
      <c r="A777" t="s">
        <v>42</v>
      </c>
      <c r="B777">
        <v>2</v>
      </c>
      <c r="C777" t="s">
        <v>34</v>
      </c>
      <c r="D777" t="s">
        <v>46</v>
      </c>
      <c r="E777" s="2">
        <v>7</v>
      </c>
      <c r="F777">
        <v>0</v>
      </c>
      <c r="G777">
        <v>7</v>
      </c>
      <c r="H777">
        <v>4.5</v>
      </c>
      <c r="I777" t="s">
        <v>32</v>
      </c>
      <c r="J777" s="33" t="s">
        <v>148</v>
      </c>
      <c r="M777" t="s">
        <v>62</v>
      </c>
      <c r="N777">
        <v>88</v>
      </c>
      <c r="R777" t="s">
        <v>76</v>
      </c>
      <c r="S777">
        <v>162</v>
      </c>
    </row>
    <row r="778" spans="1:19" x14ac:dyDescent="0.25">
      <c r="A778" t="s">
        <v>42</v>
      </c>
      <c r="B778">
        <v>2</v>
      </c>
      <c r="C778" t="s">
        <v>34</v>
      </c>
      <c r="D778" t="s">
        <v>46</v>
      </c>
      <c r="E778" s="2">
        <v>7</v>
      </c>
      <c r="F778">
        <v>0</v>
      </c>
      <c r="G778">
        <v>7</v>
      </c>
      <c r="H778">
        <v>5.6</v>
      </c>
      <c r="I778" t="s">
        <v>32</v>
      </c>
      <c r="J778" s="33" t="s">
        <v>148</v>
      </c>
      <c r="M778" t="s">
        <v>62</v>
      </c>
      <c r="N778">
        <v>134</v>
      </c>
      <c r="R778" t="s">
        <v>76</v>
      </c>
      <c r="S778">
        <v>0</v>
      </c>
    </row>
    <row r="779" spans="1:19" x14ac:dyDescent="0.25">
      <c r="A779" t="s">
        <v>42</v>
      </c>
      <c r="B779">
        <v>5</v>
      </c>
      <c r="C779" t="s">
        <v>30</v>
      </c>
      <c r="D779" t="s">
        <v>47</v>
      </c>
      <c r="E779" s="2">
        <v>7</v>
      </c>
      <c r="F779">
        <v>0</v>
      </c>
      <c r="G779">
        <v>7</v>
      </c>
      <c r="H779">
        <v>1.2</v>
      </c>
      <c r="I779" t="s">
        <v>32</v>
      </c>
      <c r="J779" s="33" t="s">
        <v>148</v>
      </c>
      <c r="M779" t="s">
        <v>62</v>
      </c>
      <c r="N779">
        <v>22</v>
      </c>
      <c r="R779" t="s">
        <v>76</v>
      </c>
      <c r="S779">
        <v>0</v>
      </c>
    </row>
    <row r="780" spans="1:19" x14ac:dyDescent="0.25">
      <c r="A780" t="s">
        <v>42</v>
      </c>
      <c r="B780">
        <v>5</v>
      </c>
      <c r="C780" t="s">
        <v>30</v>
      </c>
      <c r="D780" t="s">
        <v>47</v>
      </c>
      <c r="E780" s="2">
        <v>7</v>
      </c>
      <c r="F780">
        <v>0</v>
      </c>
      <c r="G780">
        <v>7</v>
      </c>
      <c r="H780">
        <v>4.3</v>
      </c>
      <c r="I780" t="s">
        <v>32</v>
      </c>
      <c r="J780" s="33" t="s">
        <v>148</v>
      </c>
      <c r="M780" t="s">
        <v>62</v>
      </c>
      <c r="N780">
        <v>145</v>
      </c>
      <c r="R780" t="s">
        <v>76</v>
      </c>
      <c r="S780">
        <v>6</v>
      </c>
    </row>
    <row r="781" spans="1:19" x14ac:dyDescent="0.25">
      <c r="A781" t="s">
        <v>42</v>
      </c>
      <c r="B781">
        <v>5</v>
      </c>
      <c r="C781" t="s">
        <v>34</v>
      </c>
      <c r="D781" t="s">
        <v>48</v>
      </c>
      <c r="E781" s="2">
        <v>7</v>
      </c>
      <c r="F781">
        <v>7</v>
      </c>
      <c r="G781">
        <v>0</v>
      </c>
      <c r="H781">
        <v>0</v>
      </c>
      <c r="I781" t="s">
        <v>32</v>
      </c>
      <c r="J781" s="33" t="s">
        <v>148</v>
      </c>
      <c r="M781" t="s">
        <v>62</v>
      </c>
      <c r="N781">
        <v>20</v>
      </c>
    </row>
    <row r="782" spans="1:19" x14ac:dyDescent="0.25">
      <c r="A782" t="s">
        <v>42</v>
      </c>
      <c r="B782">
        <v>5</v>
      </c>
      <c r="C782" t="s">
        <v>34</v>
      </c>
      <c r="D782" t="s">
        <v>48</v>
      </c>
      <c r="E782" s="2">
        <v>7</v>
      </c>
      <c r="F782">
        <v>0</v>
      </c>
      <c r="G782">
        <v>7</v>
      </c>
      <c r="H782">
        <v>11.7</v>
      </c>
      <c r="I782" t="s">
        <v>32</v>
      </c>
      <c r="J782" s="33" t="s">
        <v>148</v>
      </c>
      <c r="M782" t="s">
        <v>62</v>
      </c>
      <c r="N782">
        <v>4</v>
      </c>
    </row>
    <row r="783" spans="1:19" x14ac:dyDescent="0.25">
      <c r="A783" t="s">
        <v>42</v>
      </c>
      <c r="B783">
        <v>5</v>
      </c>
      <c r="C783" t="s">
        <v>34</v>
      </c>
      <c r="D783" t="s">
        <v>48</v>
      </c>
      <c r="E783" s="2">
        <v>7</v>
      </c>
      <c r="F783">
        <v>0</v>
      </c>
      <c r="G783">
        <v>7</v>
      </c>
      <c r="H783">
        <v>13.8</v>
      </c>
      <c r="I783" t="s">
        <v>32</v>
      </c>
      <c r="J783" s="33" t="s">
        <v>148</v>
      </c>
      <c r="M783" t="s">
        <v>62</v>
      </c>
      <c r="N783">
        <v>59</v>
      </c>
    </row>
    <row r="784" spans="1:19" x14ac:dyDescent="0.25">
      <c r="A784" t="s">
        <v>42</v>
      </c>
      <c r="B784">
        <v>5</v>
      </c>
      <c r="C784" t="s">
        <v>34</v>
      </c>
      <c r="D784" t="s">
        <v>48</v>
      </c>
      <c r="E784" s="2">
        <v>7</v>
      </c>
      <c r="F784">
        <v>0</v>
      </c>
      <c r="G784">
        <v>7</v>
      </c>
      <c r="H784">
        <v>8</v>
      </c>
      <c r="I784" t="s">
        <v>32</v>
      </c>
      <c r="J784" s="33" t="s">
        <v>148</v>
      </c>
      <c r="M784" t="s">
        <v>62</v>
      </c>
      <c r="N784">
        <v>26</v>
      </c>
    </row>
    <row r="785" spans="1:14" x14ac:dyDescent="0.25">
      <c r="A785" t="s">
        <v>42</v>
      </c>
      <c r="B785">
        <v>5</v>
      </c>
      <c r="C785" t="s">
        <v>34</v>
      </c>
      <c r="D785" t="s">
        <v>48</v>
      </c>
      <c r="E785" s="2">
        <v>7</v>
      </c>
      <c r="F785">
        <v>0</v>
      </c>
      <c r="G785">
        <v>7</v>
      </c>
      <c r="H785">
        <v>9.3000000000000007</v>
      </c>
      <c r="I785" t="s">
        <v>32</v>
      </c>
      <c r="J785" s="33" t="s">
        <v>148</v>
      </c>
      <c r="M785" t="s">
        <v>62</v>
      </c>
      <c r="N785">
        <v>98</v>
      </c>
    </row>
    <row r="786" spans="1:14" x14ac:dyDescent="0.25">
      <c r="A786" t="s">
        <v>42</v>
      </c>
      <c r="B786">
        <v>3</v>
      </c>
      <c r="C786" t="s">
        <v>30</v>
      </c>
      <c r="D786" t="s">
        <v>49</v>
      </c>
      <c r="E786" s="2">
        <v>7</v>
      </c>
      <c r="F786">
        <v>7</v>
      </c>
      <c r="G786">
        <v>0</v>
      </c>
      <c r="H786">
        <v>0</v>
      </c>
      <c r="I786" t="s">
        <v>32</v>
      </c>
      <c r="J786" s="33" t="s">
        <v>148</v>
      </c>
      <c r="M786" t="s">
        <v>62</v>
      </c>
      <c r="N786">
        <v>5</v>
      </c>
    </row>
    <row r="787" spans="1:14" x14ac:dyDescent="0.25">
      <c r="A787" t="s">
        <v>42</v>
      </c>
      <c r="B787">
        <v>3</v>
      </c>
      <c r="C787" t="s">
        <v>30</v>
      </c>
      <c r="D787" t="s">
        <v>49</v>
      </c>
      <c r="E787" s="2">
        <v>7</v>
      </c>
      <c r="F787">
        <v>7</v>
      </c>
      <c r="G787">
        <v>0</v>
      </c>
      <c r="H787">
        <v>0</v>
      </c>
      <c r="I787" t="s">
        <v>32</v>
      </c>
      <c r="J787" s="33" t="s">
        <v>148</v>
      </c>
      <c r="M787" t="s">
        <v>62</v>
      </c>
      <c r="N787">
        <v>0</v>
      </c>
    </row>
    <row r="788" spans="1:14" x14ac:dyDescent="0.25">
      <c r="A788" t="s">
        <v>42</v>
      </c>
      <c r="B788">
        <v>3</v>
      </c>
      <c r="C788" t="s">
        <v>30</v>
      </c>
      <c r="D788" t="s">
        <v>49</v>
      </c>
      <c r="E788" s="2">
        <v>7</v>
      </c>
      <c r="F788">
        <v>0</v>
      </c>
      <c r="G788">
        <v>7</v>
      </c>
      <c r="H788">
        <v>10</v>
      </c>
      <c r="I788" t="s">
        <v>32</v>
      </c>
      <c r="J788" s="33" t="s">
        <v>148</v>
      </c>
      <c r="M788" t="s">
        <v>62</v>
      </c>
      <c r="N788">
        <v>11</v>
      </c>
    </row>
    <row r="789" spans="1:14" x14ac:dyDescent="0.25">
      <c r="A789" t="s">
        <v>42</v>
      </c>
      <c r="B789">
        <v>4</v>
      </c>
      <c r="C789" t="s">
        <v>30</v>
      </c>
      <c r="D789" t="s">
        <v>51</v>
      </c>
      <c r="E789" s="2">
        <v>7</v>
      </c>
      <c r="F789">
        <v>7</v>
      </c>
      <c r="G789">
        <v>0</v>
      </c>
      <c r="H789">
        <v>0</v>
      </c>
      <c r="I789" t="s">
        <v>32</v>
      </c>
      <c r="J789" s="33" t="s">
        <v>148</v>
      </c>
      <c r="M789" t="s">
        <v>62</v>
      </c>
      <c r="N789">
        <v>0</v>
      </c>
    </row>
    <row r="790" spans="1:14" x14ac:dyDescent="0.25">
      <c r="A790" t="s">
        <v>42</v>
      </c>
      <c r="B790">
        <v>4</v>
      </c>
      <c r="C790" t="s">
        <v>30</v>
      </c>
      <c r="D790" t="s">
        <v>51</v>
      </c>
      <c r="E790" s="2">
        <v>7</v>
      </c>
      <c r="F790">
        <v>0</v>
      </c>
      <c r="G790">
        <v>7</v>
      </c>
      <c r="H790">
        <v>9.8000000000000007</v>
      </c>
      <c r="I790" t="s">
        <v>32</v>
      </c>
      <c r="J790" s="33" t="s">
        <v>148</v>
      </c>
      <c r="M790" t="s">
        <v>62</v>
      </c>
      <c r="N790">
        <v>3</v>
      </c>
    </row>
    <row r="791" spans="1:14" x14ac:dyDescent="0.25">
      <c r="A791" t="s">
        <v>52</v>
      </c>
      <c r="B791">
        <v>4</v>
      </c>
      <c r="C791" t="s">
        <v>34</v>
      </c>
      <c r="D791" t="s">
        <v>53</v>
      </c>
      <c r="E791" s="2">
        <v>7</v>
      </c>
      <c r="F791">
        <v>7</v>
      </c>
      <c r="G791">
        <v>0</v>
      </c>
      <c r="H791">
        <v>0</v>
      </c>
      <c r="I791" t="s">
        <v>32</v>
      </c>
      <c r="J791" s="33" t="s">
        <v>148</v>
      </c>
      <c r="M791" t="s">
        <v>62</v>
      </c>
      <c r="N791">
        <v>12</v>
      </c>
    </row>
    <row r="792" spans="1:14" x14ac:dyDescent="0.25">
      <c r="A792" t="s">
        <v>52</v>
      </c>
      <c r="B792">
        <v>4</v>
      </c>
      <c r="C792" t="s">
        <v>34</v>
      </c>
      <c r="D792" t="s">
        <v>53</v>
      </c>
      <c r="E792" s="2">
        <v>7</v>
      </c>
      <c r="F792">
        <v>0</v>
      </c>
      <c r="G792">
        <v>7</v>
      </c>
      <c r="H792">
        <v>7.6</v>
      </c>
      <c r="I792" t="s">
        <v>32</v>
      </c>
      <c r="J792" s="33" t="s">
        <v>148</v>
      </c>
      <c r="M792" t="s">
        <v>62</v>
      </c>
      <c r="N792">
        <v>14</v>
      </c>
    </row>
    <row r="793" spans="1:14" x14ac:dyDescent="0.25">
      <c r="A793" t="s">
        <v>54</v>
      </c>
      <c r="B793">
        <v>1</v>
      </c>
      <c r="C793" t="s">
        <v>30</v>
      </c>
      <c r="D793" t="s">
        <v>55</v>
      </c>
      <c r="E793" s="2">
        <v>7</v>
      </c>
      <c r="F793">
        <v>0</v>
      </c>
      <c r="G793">
        <v>7</v>
      </c>
      <c r="H793">
        <v>9.6</v>
      </c>
      <c r="I793" t="s">
        <v>32</v>
      </c>
      <c r="J793" s="33" t="s">
        <v>148</v>
      </c>
      <c r="M793" t="s">
        <v>62</v>
      </c>
      <c r="N793">
        <v>0</v>
      </c>
    </row>
    <row r="794" spans="1:14" x14ac:dyDescent="0.25">
      <c r="A794" t="s">
        <v>54</v>
      </c>
      <c r="B794">
        <v>4</v>
      </c>
      <c r="C794" t="s">
        <v>30</v>
      </c>
      <c r="D794" t="s">
        <v>61</v>
      </c>
      <c r="E794" s="2">
        <v>7</v>
      </c>
      <c r="F794">
        <v>0</v>
      </c>
      <c r="G794">
        <v>7</v>
      </c>
      <c r="H794">
        <v>12.2</v>
      </c>
      <c r="I794" t="s">
        <v>32</v>
      </c>
      <c r="J794" s="33" t="s">
        <v>148</v>
      </c>
      <c r="M794" t="s">
        <v>62</v>
      </c>
      <c r="N794">
        <v>0</v>
      </c>
    </row>
    <row r="795" spans="1:14" x14ac:dyDescent="0.25">
      <c r="A795" t="s">
        <v>54</v>
      </c>
      <c r="B795">
        <v>4</v>
      </c>
      <c r="C795" t="s">
        <v>34</v>
      </c>
      <c r="D795" t="s">
        <v>62</v>
      </c>
      <c r="E795" s="2">
        <v>7</v>
      </c>
      <c r="F795">
        <v>7</v>
      </c>
      <c r="G795">
        <v>0</v>
      </c>
      <c r="H795">
        <v>0</v>
      </c>
      <c r="I795" t="s">
        <v>32</v>
      </c>
      <c r="J795" s="33" t="s">
        <v>148</v>
      </c>
      <c r="M795" t="s">
        <v>62</v>
      </c>
      <c r="N795">
        <v>87</v>
      </c>
    </row>
    <row r="796" spans="1:14" x14ac:dyDescent="0.25">
      <c r="A796" t="s">
        <v>54</v>
      </c>
      <c r="B796">
        <v>4</v>
      </c>
      <c r="C796" t="s">
        <v>34</v>
      </c>
      <c r="D796" t="s">
        <v>62</v>
      </c>
      <c r="E796" s="2">
        <v>7</v>
      </c>
      <c r="F796">
        <v>7</v>
      </c>
      <c r="G796">
        <v>0</v>
      </c>
      <c r="H796">
        <v>0</v>
      </c>
      <c r="I796" t="s">
        <v>32</v>
      </c>
      <c r="J796" s="33" t="s">
        <v>148</v>
      </c>
      <c r="M796" t="s">
        <v>62</v>
      </c>
      <c r="N796">
        <v>2</v>
      </c>
    </row>
    <row r="797" spans="1:14" x14ac:dyDescent="0.25">
      <c r="A797" t="s">
        <v>63</v>
      </c>
      <c r="B797">
        <v>5</v>
      </c>
      <c r="C797" t="s">
        <v>30</v>
      </c>
      <c r="D797" t="s">
        <v>64</v>
      </c>
      <c r="E797" s="2">
        <v>7</v>
      </c>
      <c r="F797">
        <v>0</v>
      </c>
      <c r="G797">
        <v>7</v>
      </c>
      <c r="H797">
        <v>8.6</v>
      </c>
      <c r="I797" t="s">
        <v>32</v>
      </c>
      <c r="J797" s="33" t="s">
        <v>148</v>
      </c>
      <c r="M797" t="s">
        <v>62</v>
      </c>
      <c r="N797">
        <v>0</v>
      </c>
    </row>
    <row r="798" spans="1:14" x14ac:dyDescent="0.25">
      <c r="A798" t="s">
        <v>63</v>
      </c>
      <c r="B798">
        <v>5</v>
      </c>
      <c r="C798" t="s">
        <v>34</v>
      </c>
      <c r="D798" t="s">
        <v>65</v>
      </c>
      <c r="E798" s="2">
        <v>7</v>
      </c>
      <c r="F798">
        <v>7</v>
      </c>
      <c r="G798">
        <v>0</v>
      </c>
      <c r="H798">
        <v>0</v>
      </c>
      <c r="I798" t="s">
        <v>32</v>
      </c>
      <c r="J798" s="33" t="s">
        <v>148</v>
      </c>
      <c r="M798" t="s">
        <v>62</v>
      </c>
      <c r="N798">
        <v>4</v>
      </c>
    </row>
    <row r="799" spans="1:14" x14ac:dyDescent="0.25">
      <c r="A799" t="s">
        <v>63</v>
      </c>
      <c r="B799">
        <v>5</v>
      </c>
      <c r="C799" t="s">
        <v>34</v>
      </c>
      <c r="D799" t="s">
        <v>65</v>
      </c>
      <c r="E799" s="2">
        <v>7</v>
      </c>
      <c r="F799">
        <v>7</v>
      </c>
      <c r="G799">
        <v>0</v>
      </c>
      <c r="H799">
        <v>0</v>
      </c>
      <c r="I799" t="s">
        <v>32</v>
      </c>
      <c r="J799" s="33" t="s">
        <v>148</v>
      </c>
      <c r="M799" t="s">
        <v>62</v>
      </c>
      <c r="N799">
        <v>11</v>
      </c>
    </row>
    <row r="800" spans="1:14" x14ac:dyDescent="0.25">
      <c r="A800" t="s">
        <v>68</v>
      </c>
      <c r="B800">
        <v>6</v>
      </c>
      <c r="C800" t="s">
        <v>34</v>
      </c>
      <c r="D800" t="s">
        <v>70</v>
      </c>
      <c r="E800" s="2">
        <v>7</v>
      </c>
      <c r="F800">
        <v>0</v>
      </c>
      <c r="G800">
        <v>7</v>
      </c>
      <c r="H800">
        <v>4.3</v>
      </c>
      <c r="I800" t="s">
        <v>32</v>
      </c>
      <c r="J800" s="33" t="s">
        <v>148</v>
      </c>
      <c r="M800" t="s">
        <v>62</v>
      </c>
      <c r="N800">
        <v>32</v>
      </c>
    </row>
    <row r="801" spans="1:14" x14ac:dyDescent="0.25">
      <c r="A801" t="s">
        <v>71</v>
      </c>
      <c r="B801">
        <v>8</v>
      </c>
      <c r="C801" t="s">
        <v>30</v>
      </c>
      <c r="D801" t="s">
        <v>72</v>
      </c>
      <c r="E801" s="2">
        <v>7</v>
      </c>
      <c r="F801">
        <v>7</v>
      </c>
      <c r="G801">
        <v>0</v>
      </c>
      <c r="H801">
        <v>0</v>
      </c>
      <c r="I801" t="s">
        <v>32</v>
      </c>
      <c r="J801" s="33" t="s">
        <v>148</v>
      </c>
      <c r="M801" t="s">
        <v>62</v>
      </c>
      <c r="N801">
        <v>150</v>
      </c>
    </row>
    <row r="802" spans="1:14" x14ac:dyDescent="0.25">
      <c r="A802" t="s">
        <v>71</v>
      </c>
      <c r="B802">
        <v>10</v>
      </c>
      <c r="C802" t="s">
        <v>34</v>
      </c>
      <c r="D802" t="s">
        <v>75</v>
      </c>
      <c r="E802" s="2">
        <v>7</v>
      </c>
      <c r="F802">
        <v>0</v>
      </c>
      <c r="G802">
        <v>7</v>
      </c>
      <c r="H802">
        <v>6.2</v>
      </c>
      <c r="I802" t="s">
        <v>32</v>
      </c>
      <c r="J802" s="33" t="s">
        <v>148</v>
      </c>
      <c r="M802" t="s">
        <v>62</v>
      </c>
      <c r="N802">
        <v>55</v>
      </c>
    </row>
    <row r="803" spans="1:14" x14ac:dyDescent="0.25">
      <c r="A803" t="s">
        <v>71</v>
      </c>
      <c r="B803">
        <v>10</v>
      </c>
      <c r="C803" t="s">
        <v>34</v>
      </c>
      <c r="D803" t="s">
        <v>75</v>
      </c>
      <c r="E803" s="2">
        <v>7</v>
      </c>
      <c r="F803">
        <v>7</v>
      </c>
      <c r="G803">
        <v>0</v>
      </c>
      <c r="H803">
        <v>0</v>
      </c>
      <c r="I803" t="s">
        <v>32</v>
      </c>
      <c r="J803" s="33" t="s">
        <v>148</v>
      </c>
      <c r="M803" t="s">
        <v>62</v>
      </c>
      <c r="N803">
        <v>71</v>
      </c>
    </row>
    <row r="804" spans="1:14" x14ac:dyDescent="0.25">
      <c r="A804" t="s">
        <v>71</v>
      </c>
      <c r="B804">
        <v>11</v>
      </c>
      <c r="C804" t="s">
        <v>30</v>
      </c>
      <c r="D804" t="s">
        <v>76</v>
      </c>
      <c r="E804" s="2">
        <v>7</v>
      </c>
      <c r="F804">
        <v>0</v>
      </c>
      <c r="G804">
        <v>7</v>
      </c>
      <c r="H804">
        <v>3.3</v>
      </c>
      <c r="I804" t="s">
        <v>32</v>
      </c>
      <c r="J804" s="33" t="s">
        <v>148</v>
      </c>
      <c r="M804" t="s">
        <v>62</v>
      </c>
      <c r="N804">
        <v>80</v>
      </c>
    </row>
    <row r="805" spans="1:14" x14ac:dyDescent="0.25">
      <c r="A805" t="s">
        <v>71</v>
      </c>
      <c r="B805">
        <v>11</v>
      </c>
      <c r="C805" t="s">
        <v>34</v>
      </c>
      <c r="D805" t="s">
        <v>77</v>
      </c>
      <c r="E805" s="2">
        <v>7</v>
      </c>
      <c r="F805">
        <v>0</v>
      </c>
      <c r="G805">
        <v>7</v>
      </c>
      <c r="H805">
        <v>9</v>
      </c>
      <c r="I805" t="s">
        <v>32</v>
      </c>
      <c r="J805" s="33" t="s">
        <v>148</v>
      </c>
      <c r="M805" t="s">
        <v>62</v>
      </c>
      <c r="N805">
        <v>6</v>
      </c>
    </row>
    <row r="806" spans="1:14" x14ac:dyDescent="0.25">
      <c r="A806" t="s">
        <v>29</v>
      </c>
      <c r="B806">
        <v>1</v>
      </c>
      <c r="C806" t="s">
        <v>30</v>
      </c>
      <c r="D806" t="s">
        <v>31</v>
      </c>
      <c r="E806" s="2">
        <v>8</v>
      </c>
      <c r="F806">
        <v>0</v>
      </c>
      <c r="G806">
        <v>8</v>
      </c>
      <c r="H806">
        <v>3.5</v>
      </c>
      <c r="I806" t="s">
        <v>32</v>
      </c>
      <c r="J806" s="33" t="s">
        <v>148</v>
      </c>
      <c r="M806" t="s">
        <v>62</v>
      </c>
      <c r="N806">
        <v>17</v>
      </c>
    </row>
    <row r="807" spans="1:14" x14ac:dyDescent="0.25">
      <c r="A807" t="s">
        <v>29</v>
      </c>
      <c r="B807">
        <v>1</v>
      </c>
      <c r="C807" t="s">
        <v>34</v>
      </c>
      <c r="D807" t="s">
        <v>35</v>
      </c>
      <c r="E807" s="2">
        <v>8</v>
      </c>
      <c r="F807">
        <v>0</v>
      </c>
      <c r="G807">
        <v>8</v>
      </c>
      <c r="H807">
        <v>2</v>
      </c>
      <c r="I807" t="s">
        <v>32</v>
      </c>
      <c r="J807" s="33" t="s">
        <v>148</v>
      </c>
      <c r="M807" t="s">
        <v>62</v>
      </c>
      <c r="N807">
        <v>97</v>
      </c>
    </row>
    <row r="808" spans="1:14" x14ac:dyDescent="0.25">
      <c r="A808" t="s">
        <v>29</v>
      </c>
      <c r="B808">
        <v>1</v>
      </c>
      <c r="C808" t="s">
        <v>34</v>
      </c>
      <c r="D808" t="s">
        <v>35</v>
      </c>
      <c r="E808" s="2">
        <v>8</v>
      </c>
      <c r="F808">
        <v>0</v>
      </c>
      <c r="G808">
        <v>8</v>
      </c>
      <c r="H808">
        <v>4.5</v>
      </c>
      <c r="I808" t="s">
        <v>32</v>
      </c>
      <c r="J808" s="33" t="s">
        <v>148</v>
      </c>
      <c r="M808" t="s">
        <v>62</v>
      </c>
      <c r="N808">
        <v>18</v>
      </c>
    </row>
    <row r="809" spans="1:14" x14ac:dyDescent="0.25">
      <c r="A809" t="s">
        <v>29</v>
      </c>
      <c r="B809">
        <v>2</v>
      </c>
      <c r="C809" t="s">
        <v>30</v>
      </c>
      <c r="D809" t="s">
        <v>36</v>
      </c>
      <c r="E809" s="2">
        <v>8</v>
      </c>
      <c r="F809">
        <v>0</v>
      </c>
      <c r="G809">
        <v>8</v>
      </c>
      <c r="H809">
        <v>4.5999999999999996</v>
      </c>
      <c r="I809" t="s">
        <v>32</v>
      </c>
      <c r="J809" s="33" t="s">
        <v>148</v>
      </c>
      <c r="M809" t="s">
        <v>62</v>
      </c>
      <c r="N809">
        <v>0</v>
      </c>
    </row>
    <row r="810" spans="1:14" x14ac:dyDescent="0.25">
      <c r="A810" t="s">
        <v>29</v>
      </c>
      <c r="B810">
        <v>2</v>
      </c>
      <c r="C810" t="s">
        <v>30</v>
      </c>
      <c r="D810" t="s">
        <v>36</v>
      </c>
      <c r="E810" s="2">
        <v>8</v>
      </c>
      <c r="F810">
        <v>0</v>
      </c>
      <c r="G810">
        <v>8</v>
      </c>
      <c r="H810">
        <v>8.3000000000000007</v>
      </c>
      <c r="I810" t="s">
        <v>32</v>
      </c>
      <c r="J810" s="33" t="s">
        <v>148</v>
      </c>
      <c r="M810" t="s">
        <v>62</v>
      </c>
      <c r="N810">
        <v>91</v>
      </c>
    </row>
    <row r="811" spans="1:14" x14ac:dyDescent="0.25">
      <c r="A811" t="s">
        <v>29</v>
      </c>
      <c r="B811">
        <v>2</v>
      </c>
      <c r="C811" t="s">
        <v>30</v>
      </c>
      <c r="D811" t="s">
        <v>36</v>
      </c>
      <c r="E811" s="2">
        <v>8</v>
      </c>
      <c r="F811">
        <v>0</v>
      </c>
      <c r="G811">
        <v>8</v>
      </c>
      <c r="H811">
        <v>7</v>
      </c>
      <c r="I811" t="s">
        <v>32</v>
      </c>
      <c r="J811" s="33" t="s">
        <v>148</v>
      </c>
      <c r="M811" t="s">
        <v>62</v>
      </c>
      <c r="N811">
        <v>74</v>
      </c>
    </row>
    <row r="812" spans="1:14" x14ac:dyDescent="0.25">
      <c r="A812" t="s">
        <v>29</v>
      </c>
      <c r="B812">
        <v>2</v>
      </c>
      <c r="C812" t="s">
        <v>30</v>
      </c>
      <c r="D812" t="s">
        <v>36</v>
      </c>
      <c r="E812" s="2">
        <v>8</v>
      </c>
      <c r="F812">
        <v>0</v>
      </c>
      <c r="G812">
        <v>8</v>
      </c>
      <c r="H812">
        <v>7.6</v>
      </c>
      <c r="I812" t="s">
        <v>32</v>
      </c>
      <c r="J812" s="33" t="s">
        <v>148</v>
      </c>
      <c r="M812" t="s">
        <v>62</v>
      </c>
      <c r="N812">
        <v>0</v>
      </c>
    </row>
    <row r="813" spans="1:14" x14ac:dyDescent="0.25">
      <c r="A813" t="s">
        <v>29</v>
      </c>
      <c r="B813">
        <v>2</v>
      </c>
      <c r="C813" t="s">
        <v>34</v>
      </c>
      <c r="D813" t="s">
        <v>37</v>
      </c>
      <c r="E813" s="2">
        <v>8</v>
      </c>
      <c r="F813">
        <v>8</v>
      </c>
      <c r="G813">
        <v>0</v>
      </c>
      <c r="H813">
        <v>0</v>
      </c>
      <c r="I813" t="s">
        <v>32</v>
      </c>
      <c r="J813" s="33" t="s">
        <v>148</v>
      </c>
      <c r="M813" t="s">
        <v>62</v>
      </c>
      <c r="N813">
        <v>7</v>
      </c>
    </row>
    <row r="814" spans="1:14" x14ac:dyDescent="0.25">
      <c r="A814" t="s">
        <v>29</v>
      </c>
      <c r="B814">
        <v>2</v>
      </c>
      <c r="C814" t="s">
        <v>34</v>
      </c>
      <c r="D814" t="s">
        <v>37</v>
      </c>
      <c r="E814" s="2">
        <v>8</v>
      </c>
      <c r="F814">
        <v>0</v>
      </c>
      <c r="G814">
        <v>8</v>
      </c>
      <c r="H814">
        <v>6.6</v>
      </c>
      <c r="I814" t="s">
        <v>32</v>
      </c>
      <c r="J814" s="33" t="s">
        <v>148</v>
      </c>
      <c r="M814" t="s">
        <v>62</v>
      </c>
      <c r="N814">
        <v>68</v>
      </c>
    </row>
    <row r="815" spans="1:14" x14ac:dyDescent="0.25">
      <c r="A815" t="s">
        <v>29</v>
      </c>
      <c r="B815">
        <v>3</v>
      </c>
      <c r="C815" t="s">
        <v>30</v>
      </c>
      <c r="D815" t="s">
        <v>38</v>
      </c>
      <c r="E815" s="2">
        <v>8</v>
      </c>
      <c r="F815">
        <v>0</v>
      </c>
      <c r="G815">
        <v>8</v>
      </c>
      <c r="H815">
        <v>7.5</v>
      </c>
      <c r="I815" t="s">
        <v>32</v>
      </c>
      <c r="J815" s="33" t="s">
        <v>148</v>
      </c>
      <c r="M815" t="s">
        <v>62</v>
      </c>
      <c r="N815">
        <v>28</v>
      </c>
    </row>
    <row r="816" spans="1:14" x14ac:dyDescent="0.25">
      <c r="A816" t="s">
        <v>29</v>
      </c>
      <c r="B816">
        <v>3</v>
      </c>
      <c r="C816" t="s">
        <v>34</v>
      </c>
      <c r="D816" t="s">
        <v>39</v>
      </c>
      <c r="E816" s="2">
        <v>8</v>
      </c>
      <c r="F816">
        <v>0</v>
      </c>
      <c r="G816">
        <v>8</v>
      </c>
      <c r="H816">
        <v>14</v>
      </c>
      <c r="I816" t="s">
        <v>32</v>
      </c>
      <c r="J816" s="33" t="s">
        <v>148</v>
      </c>
      <c r="M816" t="s">
        <v>62</v>
      </c>
      <c r="N816">
        <v>105</v>
      </c>
    </row>
    <row r="817" spans="1:14" x14ac:dyDescent="0.25">
      <c r="A817" t="s">
        <v>29</v>
      </c>
      <c r="B817">
        <v>3</v>
      </c>
      <c r="C817" t="s">
        <v>34</v>
      </c>
      <c r="D817" t="s">
        <v>39</v>
      </c>
      <c r="E817" s="2">
        <v>8</v>
      </c>
      <c r="F817">
        <v>5</v>
      </c>
      <c r="G817">
        <v>3</v>
      </c>
      <c r="H817">
        <v>12</v>
      </c>
      <c r="I817" t="s">
        <v>32</v>
      </c>
      <c r="J817" s="33" t="s">
        <v>148</v>
      </c>
      <c r="M817" t="s">
        <v>62</v>
      </c>
      <c r="N817">
        <v>117</v>
      </c>
    </row>
    <row r="818" spans="1:14" x14ac:dyDescent="0.25">
      <c r="A818" t="s">
        <v>29</v>
      </c>
      <c r="B818">
        <v>3</v>
      </c>
      <c r="C818" t="s">
        <v>34</v>
      </c>
      <c r="D818" t="s">
        <v>39</v>
      </c>
      <c r="E818" s="2">
        <v>8</v>
      </c>
      <c r="F818">
        <v>0</v>
      </c>
      <c r="G818">
        <v>8</v>
      </c>
      <c r="H818">
        <v>14.6</v>
      </c>
      <c r="I818" t="s">
        <v>32</v>
      </c>
      <c r="J818" s="33" t="s">
        <v>148</v>
      </c>
      <c r="M818" t="s">
        <v>62</v>
      </c>
      <c r="N818">
        <v>30</v>
      </c>
    </row>
    <row r="819" spans="1:14" x14ac:dyDescent="0.25">
      <c r="A819" t="s">
        <v>29</v>
      </c>
      <c r="B819">
        <v>4</v>
      </c>
      <c r="C819" t="s">
        <v>30</v>
      </c>
      <c r="D819" t="s">
        <v>40</v>
      </c>
      <c r="E819" s="2">
        <v>8</v>
      </c>
      <c r="F819">
        <v>8</v>
      </c>
      <c r="G819">
        <v>0</v>
      </c>
      <c r="H819">
        <v>8.3000000000000007</v>
      </c>
      <c r="I819" t="s">
        <v>32</v>
      </c>
      <c r="J819" s="33" t="s">
        <v>148</v>
      </c>
      <c r="M819" t="s">
        <v>62</v>
      </c>
      <c r="N819">
        <v>118</v>
      </c>
    </row>
    <row r="820" spans="1:14" x14ac:dyDescent="0.25">
      <c r="A820" t="s">
        <v>29</v>
      </c>
      <c r="B820">
        <v>4</v>
      </c>
      <c r="C820" t="s">
        <v>30</v>
      </c>
      <c r="D820" t="s">
        <v>40</v>
      </c>
      <c r="E820" s="2">
        <v>8</v>
      </c>
      <c r="F820">
        <v>8</v>
      </c>
      <c r="G820">
        <v>0</v>
      </c>
      <c r="H820">
        <v>0</v>
      </c>
      <c r="I820" t="s">
        <v>32</v>
      </c>
      <c r="J820" s="33" t="s">
        <v>148</v>
      </c>
      <c r="M820" t="s">
        <v>62</v>
      </c>
      <c r="N820">
        <v>5</v>
      </c>
    </row>
    <row r="821" spans="1:14" x14ac:dyDescent="0.25">
      <c r="A821" t="s">
        <v>29</v>
      </c>
      <c r="B821">
        <v>4</v>
      </c>
      <c r="C821" t="s">
        <v>30</v>
      </c>
      <c r="D821" t="s">
        <v>40</v>
      </c>
      <c r="E821" s="2">
        <v>8</v>
      </c>
      <c r="F821">
        <v>0</v>
      </c>
      <c r="G821">
        <v>8</v>
      </c>
      <c r="H821">
        <v>5.0999999999999996</v>
      </c>
      <c r="I821" t="s">
        <v>32</v>
      </c>
      <c r="J821" s="33" t="s">
        <v>148</v>
      </c>
      <c r="M821" t="s">
        <v>62</v>
      </c>
      <c r="N821">
        <v>7</v>
      </c>
    </row>
    <row r="822" spans="1:14" x14ac:dyDescent="0.25">
      <c r="A822" t="s">
        <v>29</v>
      </c>
      <c r="B822">
        <v>4</v>
      </c>
      <c r="C822" t="s">
        <v>30</v>
      </c>
      <c r="D822" t="s">
        <v>40</v>
      </c>
      <c r="E822" s="2">
        <v>8</v>
      </c>
      <c r="F822">
        <v>0</v>
      </c>
      <c r="G822">
        <v>8</v>
      </c>
      <c r="H822">
        <v>2.4</v>
      </c>
      <c r="I822" t="s">
        <v>32</v>
      </c>
      <c r="J822" s="33" t="s">
        <v>148</v>
      </c>
      <c r="M822" t="s">
        <v>62</v>
      </c>
      <c r="N822">
        <v>10</v>
      </c>
    </row>
    <row r="823" spans="1:14" x14ac:dyDescent="0.25">
      <c r="A823" t="s">
        <v>29</v>
      </c>
      <c r="B823">
        <v>4</v>
      </c>
      <c r="C823" t="s">
        <v>34</v>
      </c>
      <c r="D823" t="s">
        <v>41</v>
      </c>
      <c r="E823" s="2">
        <v>8</v>
      </c>
      <c r="F823">
        <v>5</v>
      </c>
      <c r="G823">
        <v>3</v>
      </c>
      <c r="H823">
        <v>0.3</v>
      </c>
      <c r="I823" t="s">
        <v>32</v>
      </c>
      <c r="J823" s="33" t="s">
        <v>148</v>
      </c>
      <c r="M823" t="s">
        <v>65</v>
      </c>
      <c r="N823">
        <v>17</v>
      </c>
    </row>
    <row r="824" spans="1:14" x14ac:dyDescent="0.25">
      <c r="A824" t="s">
        <v>42</v>
      </c>
      <c r="B824">
        <v>1</v>
      </c>
      <c r="C824" t="s">
        <v>30</v>
      </c>
      <c r="D824" t="s">
        <v>43</v>
      </c>
      <c r="E824" s="2">
        <v>8</v>
      </c>
      <c r="F824">
        <v>0</v>
      </c>
      <c r="G824">
        <v>8</v>
      </c>
      <c r="H824">
        <v>8.6</v>
      </c>
      <c r="I824" t="s">
        <v>32</v>
      </c>
      <c r="J824" s="33" t="s">
        <v>148</v>
      </c>
      <c r="M824" t="s">
        <v>65</v>
      </c>
      <c r="N824">
        <v>12</v>
      </c>
    </row>
    <row r="825" spans="1:14" x14ac:dyDescent="0.25">
      <c r="A825" t="s">
        <v>42</v>
      </c>
      <c r="B825">
        <v>1</v>
      </c>
      <c r="C825" t="s">
        <v>34</v>
      </c>
      <c r="D825" t="s">
        <v>44</v>
      </c>
      <c r="E825" s="2">
        <v>8</v>
      </c>
      <c r="F825">
        <v>0</v>
      </c>
      <c r="G825">
        <v>8</v>
      </c>
      <c r="H825">
        <v>2.5</v>
      </c>
      <c r="I825" t="s">
        <v>32</v>
      </c>
      <c r="J825" s="33" t="s">
        <v>148</v>
      </c>
      <c r="M825" t="s">
        <v>65</v>
      </c>
      <c r="N825">
        <v>0</v>
      </c>
    </row>
    <row r="826" spans="1:14" x14ac:dyDescent="0.25">
      <c r="A826" t="s">
        <v>42</v>
      </c>
      <c r="B826">
        <v>1</v>
      </c>
      <c r="C826" t="s">
        <v>34</v>
      </c>
      <c r="D826" t="s">
        <v>44</v>
      </c>
      <c r="E826" s="2">
        <v>8</v>
      </c>
      <c r="F826">
        <v>0</v>
      </c>
      <c r="G826">
        <v>8</v>
      </c>
      <c r="H826">
        <v>2.2000000000000002</v>
      </c>
      <c r="I826" t="s">
        <v>32</v>
      </c>
      <c r="J826" s="33" t="s">
        <v>148</v>
      </c>
      <c r="M826" t="s">
        <v>65</v>
      </c>
      <c r="N826">
        <v>46</v>
      </c>
    </row>
    <row r="827" spans="1:14" x14ac:dyDescent="0.25">
      <c r="A827" t="s">
        <v>42</v>
      </c>
      <c r="B827">
        <v>1</v>
      </c>
      <c r="C827" t="s">
        <v>34</v>
      </c>
      <c r="D827" t="s">
        <v>44</v>
      </c>
      <c r="E827" s="2">
        <v>8</v>
      </c>
      <c r="F827">
        <v>0</v>
      </c>
      <c r="G827">
        <v>8</v>
      </c>
      <c r="H827">
        <v>6</v>
      </c>
      <c r="I827" t="s">
        <v>32</v>
      </c>
      <c r="J827" s="33" t="s">
        <v>148</v>
      </c>
      <c r="M827" t="s">
        <v>65</v>
      </c>
      <c r="N827">
        <v>31</v>
      </c>
    </row>
    <row r="828" spans="1:14" x14ac:dyDescent="0.25">
      <c r="A828" t="s">
        <v>42</v>
      </c>
      <c r="B828">
        <v>1</v>
      </c>
      <c r="C828" t="s">
        <v>34</v>
      </c>
      <c r="D828" t="s">
        <v>44</v>
      </c>
      <c r="E828" s="2">
        <v>8</v>
      </c>
      <c r="F828">
        <v>0</v>
      </c>
      <c r="G828">
        <v>8</v>
      </c>
      <c r="H828">
        <v>4.5</v>
      </c>
      <c r="I828" t="s">
        <v>32</v>
      </c>
      <c r="J828" s="33" t="s">
        <v>148</v>
      </c>
      <c r="M828" t="s">
        <v>65</v>
      </c>
      <c r="N828">
        <v>36</v>
      </c>
    </row>
    <row r="829" spans="1:14" x14ac:dyDescent="0.25">
      <c r="A829" t="s">
        <v>42</v>
      </c>
      <c r="B829">
        <v>2</v>
      </c>
      <c r="C829" t="s">
        <v>34</v>
      </c>
      <c r="D829" t="s">
        <v>46</v>
      </c>
      <c r="E829" s="2">
        <v>8</v>
      </c>
      <c r="F829">
        <v>0</v>
      </c>
      <c r="G829">
        <v>8</v>
      </c>
      <c r="H829">
        <v>2</v>
      </c>
      <c r="I829" t="s">
        <v>32</v>
      </c>
      <c r="J829" s="33" t="s">
        <v>148</v>
      </c>
      <c r="M829" t="s">
        <v>65</v>
      </c>
      <c r="N829">
        <v>43</v>
      </c>
    </row>
    <row r="830" spans="1:14" x14ac:dyDescent="0.25">
      <c r="A830" t="s">
        <v>42</v>
      </c>
      <c r="B830">
        <v>2</v>
      </c>
      <c r="C830" t="s">
        <v>34</v>
      </c>
      <c r="D830" t="s">
        <v>46</v>
      </c>
      <c r="E830" s="2">
        <v>8</v>
      </c>
      <c r="F830">
        <v>8</v>
      </c>
      <c r="G830">
        <v>0</v>
      </c>
      <c r="H830">
        <v>0</v>
      </c>
      <c r="I830" t="s">
        <v>32</v>
      </c>
      <c r="J830" s="33" t="s">
        <v>148</v>
      </c>
      <c r="M830" t="s">
        <v>65</v>
      </c>
      <c r="N830">
        <v>74</v>
      </c>
    </row>
    <row r="831" spans="1:14" x14ac:dyDescent="0.25">
      <c r="A831" t="s">
        <v>42</v>
      </c>
      <c r="B831">
        <v>2</v>
      </c>
      <c r="C831" t="s">
        <v>34</v>
      </c>
      <c r="D831" t="s">
        <v>46</v>
      </c>
      <c r="E831" s="2">
        <v>8</v>
      </c>
      <c r="F831">
        <v>0</v>
      </c>
      <c r="G831">
        <v>8</v>
      </c>
      <c r="H831">
        <v>3.7</v>
      </c>
      <c r="I831" t="s">
        <v>32</v>
      </c>
      <c r="J831" s="33" t="s">
        <v>148</v>
      </c>
      <c r="M831" t="s">
        <v>65</v>
      </c>
      <c r="N831">
        <v>113</v>
      </c>
    </row>
    <row r="832" spans="1:14" x14ac:dyDescent="0.25">
      <c r="A832" t="s">
        <v>42</v>
      </c>
      <c r="B832">
        <v>2</v>
      </c>
      <c r="C832" t="s">
        <v>34</v>
      </c>
      <c r="D832" t="s">
        <v>46</v>
      </c>
      <c r="E832" s="2">
        <v>8</v>
      </c>
      <c r="F832">
        <v>0</v>
      </c>
      <c r="G832">
        <v>8</v>
      </c>
      <c r="H832">
        <v>1.7</v>
      </c>
      <c r="I832" t="s">
        <v>32</v>
      </c>
      <c r="J832" s="33" t="s">
        <v>148</v>
      </c>
      <c r="M832" t="s">
        <v>65</v>
      </c>
      <c r="N832">
        <v>137</v>
      </c>
    </row>
    <row r="833" spans="1:14" x14ac:dyDescent="0.25">
      <c r="A833" t="s">
        <v>42</v>
      </c>
      <c r="B833">
        <v>5</v>
      </c>
      <c r="C833" t="s">
        <v>30</v>
      </c>
      <c r="D833" t="s">
        <v>47</v>
      </c>
      <c r="E833" s="2">
        <v>8</v>
      </c>
      <c r="F833">
        <v>0</v>
      </c>
      <c r="G833">
        <v>8</v>
      </c>
      <c r="H833">
        <v>2.4</v>
      </c>
      <c r="I833" t="s">
        <v>32</v>
      </c>
      <c r="J833" s="33" t="s">
        <v>148</v>
      </c>
      <c r="M833" t="s">
        <v>65</v>
      </c>
      <c r="N833">
        <v>27</v>
      </c>
    </row>
    <row r="834" spans="1:14" x14ac:dyDescent="0.25">
      <c r="A834" t="s">
        <v>42</v>
      </c>
      <c r="B834">
        <v>5</v>
      </c>
      <c r="C834" t="s">
        <v>34</v>
      </c>
      <c r="D834" t="s">
        <v>48</v>
      </c>
      <c r="E834" s="2">
        <v>8</v>
      </c>
      <c r="F834">
        <v>8</v>
      </c>
      <c r="G834">
        <v>0</v>
      </c>
      <c r="H834">
        <v>0</v>
      </c>
      <c r="I834" t="s">
        <v>32</v>
      </c>
      <c r="J834" s="33" t="s">
        <v>148</v>
      </c>
      <c r="M834" t="s">
        <v>65</v>
      </c>
      <c r="N834">
        <v>65</v>
      </c>
    </row>
    <row r="835" spans="1:14" x14ac:dyDescent="0.25">
      <c r="A835" t="s">
        <v>42</v>
      </c>
      <c r="B835">
        <v>5</v>
      </c>
      <c r="C835" t="s">
        <v>34</v>
      </c>
      <c r="D835" t="s">
        <v>48</v>
      </c>
      <c r="E835" s="2">
        <v>8</v>
      </c>
      <c r="F835">
        <v>8</v>
      </c>
      <c r="G835">
        <v>0</v>
      </c>
      <c r="H835">
        <v>0</v>
      </c>
      <c r="I835" t="s">
        <v>32</v>
      </c>
      <c r="J835" s="33" t="s">
        <v>148</v>
      </c>
      <c r="M835" t="s">
        <v>65</v>
      </c>
      <c r="N835">
        <v>75</v>
      </c>
    </row>
    <row r="836" spans="1:14" x14ac:dyDescent="0.25">
      <c r="A836" t="s">
        <v>42</v>
      </c>
      <c r="B836">
        <v>5</v>
      </c>
      <c r="C836" t="s">
        <v>34</v>
      </c>
      <c r="D836" t="s">
        <v>48</v>
      </c>
      <c r="E836" s="2">
        <v>8</v>
      </c>
      <c r="F836">
        <v>8</v>
      </c>
      <c r="G836">
        <v>0</v>
      </c>
      <c r="H836">
        <v>0</v>
      </c>
      <c r="I836" t="s">
        <v>32</v>
      </c>
      <c r="J836" s="33" t="s">
        <v>148</v>
      </c>
      <c r="M836" t="s">
        <v>65</v>
      </c>
      <c r="N836">
        <v>0</v>
      </c>
    </row>
    <row r="837" spans="1:14" x14ac:dyDescent="0.25">
      <c r="A837" t="s">
        <v>42</v>
      </c>
      <c r="B837">
        <v>3</v>
      </c>
      <c r="C837" t="s">
        <v>30</v>
      </c>
      <c r="D837" t="s">
        <v>49</v>
      </c>
      <c r="E837" s="2">
        <v>8</v>
      </c>
      <c r="F837">
        <v>0</v>
      </c>
      <c r="G837">
        <v>8</v>
      </c>
      <c r="H837">
        <v>8</v>
      </c>
      <c r="I837" t="s">
        <v>32</v>
      </c>
      <c r="J837" s="33" t="s">
        <v>148</v>
      </c>
      <c r="M837" t="s">
        <v>65</v>
      </c>
      <c r="N837">
        <v>4</v>
      </c>
    </row>
    <row r="838" spans="1:14" x14ac:dyDescent="0.25">
      <c r="A838" t="s">
        <v>42</v>
      </c>
      <c r="B838">
        <v>3</v>
      </c>
      <c r="C838" t="s">
        <v>30</v>
      </c>
      <c r="D838" t="s">
        <v>49</v>
      </c>
      <c r="E838" s="2">
        <v>8</v>
      </c>
      <c r="F838">
        <v>8</v>
      </c>
      <c r="G838">
        <v>0</v>
      </c>
      <c r="H838">
        <v>0</v>
      </c>
      <c r="I838" t="s">
        <v>32</v>
      </c>
      <c r="J838" s="33" t="s">
        <v>148</v>
      </c>
      <c r="M838" t="s">
        <v>65</v>
      </c>
      <c r="N838">
        <v>5</v>
      </c>
    </row>
    <row r="839" spans="1:14" x14ac:dyDescent="0.25">
      <c r="A839" t="s">
        <v>42</v>
      </c>
      <c r="B839">
        <v>3</v>
      </c>
      <c r="C839" t="s">
        <v>30</v>
      </c>
      <c r="D839" t="s">
        <v>49</v>
      </c>
      <c r="E839" s="2">
        <v>8</v>
      </c>
      <c r="F839">
        <v>8</v>
      </c>
      <c r="G839">
        <v>0</v>
      </c>
      <c r="H839">
        <v>0</v>
      </c>
      <c r="I839" t="s">
        <v>32</v>
      </c>
      <c r="J839" s="33" t="s">
        <v>148</v>
      </c>
      <c r="M839" t="s">
        <v>65</v>
      </c>
      <c r="N839">
        <v>34</v>
      </c>
    </row>
    <row r="840" spans="1:14" x14ac:dyDescent="0.25">
      <c r="A840" t="s">
        <v>42</v>
      </c>
      <c r="B840">
        <v>3</v>
      </c>
      <c r="C840" t="s">
        <v>34</v>
      </c>
      <c r="D840" t="s">
        <v>50</v>
      </c>
      <c r="E840" s="2">
        <v>8</v>
      </c>
      <c r="F840">
        <v>0</v>
      </c>
      <c r="G840">
        <v>8</v>
      </c>
      <c r="H840">
        <v>12.4</v>
      </c>
      <c r="I840" t="s">
        <v>32</v>
      </c>
      <c r="J840" s="33" t="s">
        <v>148</v>
      </c>
      <c r="M840" t="s">
        <v>65</v>
      </c>
      <c r="N840">
        <v>0</v>
      </c>
    </row>
    <row r="841" spans="1:14" x14ac:dyDescent="0.25">
      <c r="A841" t="s">
        <v>42</v>
      </c>
      <c r="B841">
        <v>4</v>
      </c>
      <c r="C841" t="s">
        <v>30</v>
      </c>
      <c r="D841" t="s">
        <v>51</v>
      </c>
      <c r="E841" s="2">
        <v>8</v>
      </c>
      <c r="F841">
        <v>0</v>
      </c>
      <c r="G841">
        <v>8</v>
      </c>
      <c r="H841">
        <v>0</v>
      </c>
      <c r="I841" t="s">
        <v>32</v>
      </c>
      <c r="J841" s="33" t="s">
        <v>148</v>
      </c>
      <c r="M841" t="s">
        <v>65</v>
      </c>
      <c r="N841">
        <v>17</v>
      </c>
    </row>
    <row r="842" spans="1:14" x14ac:dyDescent="0.25">
      <c r="A842" t="s">
        <v>42</v>
      </c>
      <c r="B842">
        <v>4</v>
      </c>
      <c r="C842" t="s">
        <v>30</v>
      </c>
      <c r="D842" t="s">
        <v>51</v>
      </c>
      <c r="E842" s="2">
        <v>8</v>
      </c>
      <c r="F842">
        <v>0</v>
      </c>
      <c r="G842">
        <v>8</v>
      </c>
      <c r="H842">
        <v>0</v>
      </c>
      <c r="I842" t="s">
        <v>32</v>
      </c>
      <c r="J842" s="33" t="s">
        <v>148</v>
      </c>
      <c r="M842" t="s">
        <v>65</v>
      </c>
      <c r="N842">
        <v>177</v>
      </c>
    </row>
    <row r="843" spans="1:14" x14ac:dyDescent="0.25">
      <c r="A843" t="s">
        <v>52</v>
      </c>
      <c r="B843">
        <v>4</v>
      </c>
      <c r="C843" t="s">
        <v>34</v>
      </c>
      <c r="D843" t="s">
        <v>53</v>
      </c>
      <c r="E843" s="2">
        <v>8</v>
      </c>
      <c r="F843">
        <v>0</v>
      </c>
      <c r="G843">
        <v>8</v>
      </c>
      <c r="H843">
        <v>7</v>
      </c>
      <c r="I843" t="s">
        <v>32</v>
      </c>
      <c r="J843" s="33" t="s">
        <v>148</v>
      </c>
      <c r="M843" t="s">
        <v>65</v>
      </c>
      <c r="N843">
        <v>78</v>
      </c>
    </row>
    <row r="844" spans="1:14" x14ac:dyDescent="0.25">
      <c r="A844" t="s">
        <v>52</v>
      </c>
      <c r="B844">
        <v>4</v>
      </c>
      <c r="C844" t="s">
        <v>34</v>
      </c>
      <c r="D844" t="s">
        <v>53</v>
      </c>
      <c r="E844" s="2">
        <v>8</v>
      </c>
      <c r="F844">
        <v>8</v>
      </c>
      <c r="G844">
        <v>0</v>
      </c>
      <c r="H844">
        <v>0</v>
      </c>
      <c r="I844" t="s">
        <v>32</v>
      </c>
      <c r="J844" s="33" t="s">
        <v>148</v>
      </c>
      <c r="M844" t="s">
        <v>65</v>
      </c>
      <c r="N844">
        <v>121</v>
      </c>
    </row>
    <row r="845" spans="1:14" x14ac:dyDescent="0.25">
      <c r="A845" t="s">
        <v>54</v>
      </c>
      <c r="B845">
        <v>1</v>
      </c>
      <c r="C845" t="s">
        <v>30</v>
      </c>
      <c r="D845" t="s">
        <v>55</v>
      </c>
      <c r="E845" s="2">
        <v>8</v>
      </c>
      <c r="F845">
        <v>0</v>
      </c>
      <c r="G845">
        <v>8</v>
      </c>
      <c r="H845">
        <v>3</v>
      </c>
      <c r="I845" t="s">
        <v>32</v>
      </c>
      <c r="J845" s="33" t="s">
        <v>148</v>
      </c>
      <c r="M845" t="s">
        <v>65</v>
      </c>
      <c r="N845">
        <v>41</v>
      </c>
    </row>
    <row r="846" spans="1:14" x14ac:dyDescent="0.25">
      <c r="A846" t="s">
        <v>54</v>
      </c>
      <c r="B846">
        <v>1</v>
      </c>
      <c r="C846" t="s">
        <v>30</v>
      </c>
      <c r="D846" t="s">
        <v>55</v>
      </c>
      <c r="E846" s="2">
        <v>8</v>
      </c>
      <c r="F846">
        <v>8</v>
      </c>
      <c r="G846">
        <v>0</v>
      </c>
      <c r="H846">
        <v>0</v>
      </c>
      <c r="I846" t="s">
        <v>32</v>
      </c>
      <c r="J846" s="33" t="s">
        <v>148</v>
      </c>
      <c r="M846" t="s">
        <v>65</v>
      </c>
      <c r="N846">
        <v>54</v>
      </c>
    </row>
    <row r="847" spans="1:14" x14ac:dyDescent="0.25">
      <c r="A847" t="s">
        <v>54</v>
      </c>
      <c r="B847">
        <v>4</v>
      </c>
      <c r="C847" t="s">
        <v>30</v>
      </c>
      <c r="D847" t="s">
        <v>61</v>
      </c>
      <c r="E847" s="2">
        <v>8</v>
      </c>
      <c r="F847">
        <v>0</v>
      </c>
      <c r="G847">
        <v>8</v>
      </c>
      <c r="H847">
        <v>5.3</v>
      </c>
      <c r="I847" t="s">
        <v>32</v>
      </c>
      <c r="J847" s="33" t="s">
        <v>148</v>
      </c>
      <c r="M847" t="s">
        <v>65</v>
      </c>
      <c r="N847">
        <v>8</v>
      </c>
    </row>
    <row r="848" spans="1:14" x14ac:dyDescent="0.25">
      <c r="A848" t="s">
        <v>54</v>
      </c>
      <c r="B848">
        <v>4</v>
      </c>
      <c r="C848" t="s">
        <v>30</v>
      </c>
      <c r="D848" t="s">
        <v>61</v>
      </c>
      <c r="E848" s="2">
        <v>8</v>
      </c>
      <c r="F848">
        <v>0</v>
      </c>
      <c r="G848">
        <v>8</v>
      </c>
      <c r="H848">
        <v>7</v>
      </c>
      <c r="I848" t="s">
        <v>32</v>
      </c>
      <c r="J848" s="33" t="s">
        <v>148</v>
      </c>
      <c r="M848" t="s">
        <v>65</v>
      </c>
      <c r="N848">
        <v>11</v>
      </c>
    </row>
    <row r="849" spans="1:14" x14ac:dyDescent="0.25">
      <c r="A849" t="s">
        <v>63</v>
      </c>
      <c r="B849">
        <v>5</v>
      </c>
      <c r="C849" t="s">
        <v>30</v>
      </c>
      <c r="D849" t="s">
        <v>64</v>
      </c>
      <c r="E849" s="2">
        <v>8</v>
      </c>
      <c r="F849">
        <v>8</v>
      </c>
      <c r="G849">
        <v>0</v>
      </c>
      <c r="H849">
        <v>0</v>
      </c>
      <c r="I849" t="s">
        <v>32</v>
      </c>
      <c r="J849" s="33" t="s">
        <v>148</v>
      </c>
      <c r="M849" t="s">
        <v>65</v>
      </c>
      <c r="N849">
        <v>95</v>
      </c>
    </row>
    <row r="850" spans="1:14" x14ac:dyDescent="0.25">
      <c r="A850" t="s">
        <v>63</v>
      </c>
      <c r="B850">
        <v>5</v>
      </c>
      <c r="C850" t="s">
        <v>34</v>
      </c>
      <c r="D850" t="s">
        <v>65</v>
      </c>
      <c r="E850" s="2">
        <v>8</v>
      </c>
      <c r="F850">
        <v>0</v>
      </c>
      <c r="G850">
        <v>8</v>
      </c>
      <c r="H850">
        <v>4</v>
      </c>
      <c r="I850" t="s">
        <v>32</v>
      </c>
      <c r="J850" s="33" t="s">
        <v>148</v>
      </c>
      <c r="M850" t="s">
        <v>65</v>
      </c>
      <c r="N850">
        <v>72</v>
      </c>
    </row>
    <row r="851" spans="1:14" x14ac:dyDescent="0.25">
      <c r="A851" t="s">
        <v>63</v>
      </c>
      <c r="B851">
        <v>5</v>
      </c>
      <c r="C851" t="s">
        <v>34</v>
      </c>
      <c r="D851" t="s">
        <v>65</v>
      </c>
      <c r="E851" s="2">
        <v>8</v>
      </c>
      <c r="F851">
        <v>8</v>
      </c>
      <c r="G851">
        <v>0</v>
      </c>
      <c r="H851">
        <v>0</v>
      </c>
      <c r="I851" t="s">
        <v>32</v>
      </c>
      <c r="J851" s="33" t="s">
        <v>148</v>
      </c>
      <c r="M851" t="s">
        <v>65</v>
      </c>
      <c r="N851">
        <v>6</v>
      </c>
    </row>
    <row r="852" spans="1:14" x14ac:dyDescent="0.25">
      <c r="A852" t="s">
        <v>63</v>
      </c>
      <c r="B852">
        <v>5</v>
      </c>
      <c r="C852" t="s">
        <v>34</v>
      </c>
      <c r="D852" t="s">
        <v>65</v>
      </c>
      <c r="E852" s="2">
        <v>8</v>
      </c>
      <c r="F852">
        <v>0</v>
      </c>
      <c r="G852">
        <v>8</v>
      </c>
      <c r="H852">
        <v>6.4</v>
      </c>
      <c r="I852" t="s">
        <v>32</v>
      </c>
      <c r="J852" s="33" t="s">
        <v>148</v>
      </c>
      <c r="M852" t="s">
        <v>65</v>
      </c>
      <c r="N852">
        <v>5</v>
      </c>
    </row>
    <row r="853" spans="1:14" x14ac:dyDescent="0.25">
      <c r="A853" t="s">
        <v>63</v>
      </c>
      <c r="B853">
        <v>5</v>
      </c>
      <c r="C853" t="s">
        <v>34</v>
      </c>
      <c r="D853" t="s">
        <v>65</v>
      </c>
      <c r="E853" s="2">
        <v>8</v>
      </c>
      <c r="F853">
        <v>0</v>
      </c>
      <c r="G853">
        <v>8</v>
      </c>
      <c r="H853">
        <v>4.4000000000000004</v>
      </c>
      <c r="I853" t="s">
        <v>32</v>
      </c>
      <c r="J853" s="33" t="s">
        <v>148</v>
      </c>
      <c r="M853" t="s">
        <v>65</v>
      </c>
      <c r="N853">
        <v>35</v>
      </c>
    </row>
    <row r="854" spans="1:14" x14ac:dyDescent="0.25">
      <c r="A854" t="s">
        <v>63</v>
      </c>
      <c r="B854">
        <v>1</v>
      </c>
      <c r="C854" t="s">
        <v>34</v>
      </c>
      <c r="D854" t="s">
        <v>67</v>
      </c>
      <c r="E854" s="2">
        <v>8</v>
      </c>
      <c r="F854">
        <v>0</v>
      </c>
      <c r="G854">
        <v>8</v>
      </c>
      <c r="H854">
        <v>9.6</v>
      </c>
      <c r="I854" t="s">
        <v>32</v>
      </c>
      <c r="J854" s="33" t="s">
        <v>148</v>
      </c>
      <c r="M854" t="s">
        <v>65</v>
      </c>
      <c r="N854">
        <v>64</v>
      </c>
    </row>
    <row r="855" spans="1:14" x14ac:dyDescent="0.25">
      <c r="A855" t="s">
        <v>68</v>
      </c>
      <c r="B855">
        <v>6</v>
      </c>
      <c r="C855" t="s">
        <v>34</v>
      </c>
      <c r="D855" t="s">
        <v>70</v>
      </c>
      <c r="E855" s="2">
        <v>8</v>
      </c>
      <c r="F855">
        <v>8</v>
      </c>
      <c r="G855">
        <v>0</v>
      </c>
      <c r="H855">
        <v>0</v>
      </c>
      <c r="I855" t="s">
        <v>32</v>
      </c>
      <c r="J855" s="33" t="s">
        <v>148</v>
      </c>
      <c r="M855" t="s">
        <v>65</v>
      </c>
      <c r="N855">
        <v>119</v>
      </c>
    </row>
    <row r="856" spans="1:14" x14ac:dyDescent="0.25">
      <c r="A856" t="s">
        <v>71</v>
      </c>
      <c r="B856">
        <v>10</v>
      </c>
      <c r="C856" t="s">
        <v>30</v>
      </c>
      <c r="D856" t="s">
        <v>74</v>
      </c>
      <c r="E856" s="2">
        <v>8</v>
      </c>
      <c r="F856">
        <v>0</v>
      </c>
      <c r="G856">
        <v>8</v>
      </c>
      <c r="H856">
        <v>9.3000000000000007</v>
      </c>
      <c r="I856" t="s">
        <v>32</v>
      </c>
      <c r="J856" s="33" t="s">
        <v>148</v>
      </c>
      <c r="M856" t="s">
        <v>65</v>
      </c>
      <c r="N856">
        <v>7</v>
      </c>
    </row>
    <row r="857" spans="1:14" x14ac:dyDescent="0.25">
      <c r="A857" t="s">
        <v>71</v>
      </c>
      <c r="B857">
        <v>10</v>
      </c>
      <c r="C857" t="s">
        <v>30</v>
      </c>
      <c r="D857" t="s">
        <v>74</v>
      </c>
      <c r="E857" s="2">
        <v>8</v>
      </c>
      <c r="F857">
        <v>8</v>
      </c>
      <c r="G857">
        <v>0</v>
      </c>
      <c r="H857">
        <v>0</v>
      </c>
      <c r="I857" t="s">
        <v>32</v>
      </c>
      <c r="J857" s="33" t="s">
        <v>148</v>
      </c>
      <c r="M857" t="s">
        <v>65</v>
      </c>
      <c r="N857">
        <v>121</v>
      </c>
    </row>
    <row r="858" spans="1:14" x14ac:dyDescent="0.25">
      <c r="A858" t="s">
        <v>71</v>
      </c>
      <c r="B858">
        <v>10</v>
      </c>
      <c r="C858" t="s">
        <v>34</v>
      </c>
      <c r="D858" t="s">
        <v>75</v>
      </c>
      <c r="E858" s="2">
        <v>8</v>
      </c>
      <c r="F858">
        <v>0</v>
      </c>
      <c r="G858">
        <v>8</v>
      </c>
      <c r="H858">
        <v>5.4</v>
      </c>
      <c r="I858" t="s">
        <v>32</v>
      </c>
      <c r="J858" s="33" t="s">
        <v>148</v>
      </c>
      <c r="M858" t="s">
        <v>65</v>
      </c>
      <c r="N858">
        <v>11</v>
      </c>
    </row>
    <row r="859" spans="1:14" x14ac:dyDescent="0.25">
      <c r="A859" t="s">
        <v>71</v>
      </c>
      <c r="B859">
        <v>11</v>
      </c>
      <c r="C859" t="s">
        <v>34</v>
      </c>
      <c r="D859" t="s">
        <v>77</v>
      </c>
      <c r="E859" s="2">
        <v>8</v>
      </c>
      <c r="F859">
        <v>8</v>
      </c>
      <c r="G859">
        <v>0</v>
      </c>
      <c r="H859">
        <v>0</v>
      </c>
      <c r="I859" t="s">
        <v>32</v>
      </c>
      <c r="J859" s="33" t="s">
        <v>148</v>
      </c>
      <c r="M859" t="s">
        <v>65</v>
      </c>
      <c r="N859">
        <v>3</v>
      </c>
    </row>
    <row r="860" spans="1:14" x14ac:dyDescent="0.25">
      <c r="A860" t="s">
        <v>29</v>
      </c>
      <c r="B860">
        <v>1</v>
      </c>
      <c r="C860" t="s">
        <v>34</v>
      </c>
      <c r="D860" t="s">
        <v>35</v>
      </c>
      <c r="E860" s="2">
        <v>9</v>
      </c>
      <c r="F860">
        <v>9</v>
      </c>
      <c r="G860">
        <v>0</v>
      </c>
      <c r="H860">
        <v>0</v>
      </c>
      <c r="I860" t="s">
        <v>32</v>
      </c>
      <c r="J860" s="33" t="s">
        <v>148</v>
      </c>
      <c r="M860" t="s">
        <v>65</v>
      </c>
      <c r="N860">
        <v>0</v>
      </c>
    </row>
    <row r="861" spans="1:14" x14ac:dyDescent="0.25">
      <c r="A861" t="s">
        <v>29</v>
      </c>
      <c r="B861">
        <v>1</v>
      </c>
      <c r="C861" t="s">
        <v>34</v>
      </c>
      <c r="D861" t="s">
        <v>35</v>
      </c>
      <c r="E861" s="2">
        <v>9</v>
      </c>
      <c r="F861">
        <v>0</v>
      </c>
      <c r="G861">
        <v>9</v>
      </c>
      <c r="H861">
        <v>4.5</v>
      </c>
      <c r="I861" t="s">
        <v>32</v>
      </c>
      <c r="J861" s="33" t="s">
        <v>148</v>
      </c>
      <c r="M861" t="s">
        <v>65</v>
      </c>
      <c r="N861">
        <v>0</v>
      </c>
    </row>
    <row r="862" spans="1:14" x14ac:dyDescent="0.25">
      <c r="A862" t="s">
        <v>29</v>
      </c>
      <c r="B862">
        <v>2</v>
      </c>
      <c r="C862" t="s">
        <v>30</v>
      </c>
      <c r="D862" t="s">
        <v>36</v>
      </c>
      <c r="E862" s="2">
        <v>9</v>
      </c>
      <c r="F862">
        <v>0</v>
      </c>
      <c r="G862">
        <v>9</v>
      </c>
      <c r="H862">
        <v>4</v>
      </c>
      <c r="I862" t="s">
        <v>32</v>
      </c>
      <c r="J862" s="33" t="s">
        <v>148</v>
      </c>
      <c r="M862" t="s">
        <v>65</v>
      </c>
      <c r="N862">
        <v>15</v>
      </c>
    </row>
    <row r="863" spans="1:14" x14ac:dyDescent="0.25">
      <c r="A863" t="s">
        <v>29</v>
      </c>
      <c r="B863">
        <v>2</v>
      </c>
      <c r="C863" t="s">
        <v>30</v>
      </c>
      <c r="D863" t="s">
        <v>36</v>
      </c>
      <c r="E863" s="2">
        <v>9</v>
      </c>
      <c r="F863">
        <v>0</v>
      </c>
      <c r="G863">
        <v>9</v>
      </c>
      <c r="H863">
        <v>3.5</v>
      </c>
      <c r="I863" t="s">
        <v>32</v>
      </c>
      <c r="J863" s="33" t="s">
        <v>148</v>
      </c>
      <c r="M863" t="s">
        <v>65</v>
      </c>
      <c r="N863">
        <v>44</v>
      </c>
    </row>
    <row r="864" spans="1:14" x14ac:dyDescent="0.25">
      <c r="A864" t="s">
        <v>29</v>
      </c>
      <c r="B864">
        <v>2</v>
      </c>
      <c r="C864" t="s">
        <v>34</v>
      </c>
      <c r="D864" t="s">
        <v>37</v>
      </c>
      <c r="E864" s="2">
        <v>9</v>
      </c>
      <c r="F864">
        <v>0</v>
      </c>
      <c r="G864">
        <v>9</v>
      </c>
      <c r="H864">
        <v>7.7</v>
      </c>
      <c r="I864" t="s">
        <v>32</v>
      </c>
      <c r="J864" s="33" t="s">
        <v>148</v>
      </c>
      <c r="M864" t="s">
        <v>65</v>
      </c>
      <c r="N864">
        <v>38</v>
      </c>
    </row>
    <row r="865" spans="1:14" x14ac:dyDescent="0.25">
      <c r="A865" t="s">
        <v>29</v>
      </c>
      <c r="B865">
        <v>2</v>
      </c>
      <c r="C865" t="s">
        <v>34</v>
      </c>
      <c r="D865" t="s">
        <v>37</v>
      </c>
      <c r="E865" s="2">
        <v>9</v>
      </c>
      <c r="F865">
        <v>0</v>
      </c>
      <c r="G865">
        <v>9</v>
      </c>
      <c r="H865">
        <v>5</v>
      </c>
      <c r="I865" t="s">
        <v>32</v>
      </c>
      <c r="J865" s="33" t="s">
        <v>148</v>
      </c>
      <c r="M865" t="s">
        <v>65</v>
      </c>
      <c r="N865">
        <v>26</v>
      </c>
    </row>
    <row r="866" spans="1:14" x14ac:dyDescent="0.25">
      <c r="A866" t="s">
        <v>29</v>
      </c>
      <c r="B866">
        <v>3</v>
      </c>
      <c r="C866" t="s">
        <v>30</v>
      </c>
      <c r="D866" t="s">
        <v>38</v>
      </c>
      <c r="E866" s="2">
        <v>9</v>
      </c>
      <c r="F866">
        <v>9</v>
      </c>
      <c r="G866">
        <v>0</v>
      </c>
      <c r="H866">
        <v>0</v>
      </c>
      <c r="I866" t="s">
        <v>32</v>
      </c>
      <c r="J866" s="33" t="s">
        <v>148</v>
      </c>
      <c r="M866" t="s">
        <v>65</v>
      </c>
      <c r="N866">
        <v>11</v>
      </c>
    </row>
    <row r="867" spans="1:14" x14ac:dyDescent="0.25">
      <c r="A867" t="s">
        <v>29</v>
      </c>
      <c r="B867">
        <v>3</v>
      </c>
      <c r="C867" t="s">
        <v>30</v>
      </c>
      <c r="D867" t="s">
        <v>38</v>
      </c>
      <c r="E867" s="2">
        <v>9</v>
      </c>
      <c r="F867">
        <v>9</v>
      </c>
      <c r="G867">
        <v>0</v>
      </c>
      <c r="H867">
        <v>7.1</v>
      </c>
      <c r="I867" t="s">
        <v>32</v>
      </c>
      <c r="J867" s="33" t="s">
        <v>148</v>
      </c>
      <c r="M867" t="s">
        <v>65</v>
      </c>
      <c r="N867">
        <v>0</v>
      </c>
    </row>
    <row r="868" spans="1:14" x14ac:dyDescent="0.25">
      <c r="A868" t="s">
        <v>29</v>
      </c>
      <c r="B868">
        <v>4</v>
      </c>
      <c r="C868" t="s">
        <v>30</v>
      </c>
      <c r="D868" t="s">
        <v>40</v>
      </c>
      <c r="E868" s="2">
        <v>9</v>
      </c>
      <c r="F868">
        <v>0</v>
      </c>
      <c r="G868">
        <v>9</v>
      </c>
      <c r="H868">
        <v>11.9</v>
      </c>
      <c r="I868" t="s">
        <v>32</v>
      </c>
      <c r="J868" s="33" t="s">
        <v>148</v>
      </c>
      <c r="M868" t="s">
        <v>65</v>
      </c>
      <c r="N868">
        <v>7</v>
      </c>
    </row>
    <row r="869" spans="1:14" x14ac:dyDescent="0.25">
      <c r="A869" t="s">
        <v>42</v>
      </c>
      <c r="B869">
        <v>1</v>
      </c>
      <c r="C869" t="s">
        <v>30</v>
      </c>
      <c r="D869" t="s">
        <v>43</v>
      </c>
      <c r="E869" s="2">
        <v>9</v>
      </c>
      <c r="F869">
        <v>0</v>
      </c>
      <c r="G869">
        <v>9</v>
      </c>
      <c r="H869">
        <v>8</v>
      </c>
      <c r="I869" t="s">
        <v>32</v>
      </c>
      <c r="J869" s="33" t="s">
        <v>148</v>
      </c>
      <c r="M869" t="s">
        <v>65</v>
      </c>
      <c r="N869">
        <v>107</v>
      </c>
    </row>
    <row r="870" spans="1:14" x14ac:dyDescent="0.25">
      <c r="A870" t="s">
        <v>42</v>
      </c>
      <c r="B870">
        <v>1</v>
      </c>
      <c r="C870" t="s">
        <v>30</v>
      </c>
      <c r="D870" t="s">
        <v>43</v>
      </c>
      <c r="E870" s="2">
        <v>9</v>
      </c>
      <c r="F870">
        <v>0</v>
      </c>
      <c r="G870">
        <v>9</v>
      </c>
      <c r="H870">
        <v>0</v>
      </c>
      <c r="I870" t="s">
        <v>32</v>
      </c>
      <c r="J870" s="33" t="s">
        <v>148</v>
      </c>
      <c r="M870" t="s">
        <v>65</v>
      </c>
      <c r="N870">
        <v>46</v>
      </c>
    </row>
    <row r="871" spans="1:14" x14ac:dyDescent="0.25">
      <c r="A871" t="s">
        <v>42</v>
      </c>
      <c r="B871">
        <v>2</v>
      </c>
      <c r="C871" t="s">
        <v>34</v>
      </c>
      <c r="D871" t="s">
        <v>46</v>
      </c>
      <c r="E871" s="2">
        <v>9</v>
      </c>
      <c r="F871">
        <v>9</v>
      </c>
      <c r="G871">
        <v>0</v>
      </c>
      <c r="H871">
        <v>0</v>
      </c>
      <c r="I871" t="s">
        <v>32</v>
      </c>
      <c r="J871" s="33" t="s">
        <v>148</v>
      </c>
      <c r="M871" t="s">
        <v>65</v>
      </c>
      <c r="N871">
        <v>8</v>
      </c>
    </row>
    <row r="872" spans="1:14" x14ac:dyDescent="0.25">
      <c r="A872" t="s">
        <v>42</v>
      </c>
      <c r="B872">
        <v>2</v>
      </c>
      <c r="C872" t="s">
        <v>34</v>
      </c>
      <c r="D872" t="s">
        <v>46</v>
      </c>
      <c r="E872" s="2">
        <v>9</v>
      </c>
      <c r="F872">
        <v>0</v>
      </c>
      <c r="G872">
        <v>9</v>
      </c>
      <c r="H872">
        <v>1</v>
      </c>
      <c r="I872" t="s">
        <v>32</v>
      </c>
      <c r="J872" s="33" t="s">
        <v>148</v>
      </c>
      <c r="M872" t="s">
        <v>65</v>
      </c>
      <c r="N872">
        <v>13</v>
      </c>
    </row>
    <row r="873" spans="1:14" x14ac:dyDescent="0.25">
      <c r="A873" t="s">
        <v>42</v>
      </c>
      <c r="B873">
        <v>2</v>
      </c>
      <c r="C873" t="s">
        <v>34</v>
      </c>
      <c r="D873" t="s">
        <v>46</v>
      </c>
      <c r="E873" s="2">
        <v>9</v>
      </c>
      <c r="F873">
        <v>0</v>
      </c>
      <c r="G873">
        <v>9</v>
      </c>
      <c r="H873">
        <v>7.5</v>
      </c>
      <c r="I873" t="s">
        <v>32</v>
      </c>
      <c r="J873" s="33" t="s">
        <v>148</v>
      </c>
      <c r="M873" t="s">
        <v>65</v>
      </c>
      <c r="N873">
        <v>4</v>
      </c>
    </row>
    <row r="874" spans="1:14" x14ac:dyDescent="0.25">
      <c r="A874" t="s">
        <v>42</v>
      </c>
      <c r="B874">
        <v>5</v>
      </c>
      <c r="C874" t="s">
        <v>30</v>
      </c>
      <c r="D874" t="s">
        <v>47</v>
      </c>
      <c r="E874" s="2">
        <v>9</v>
      </c>
      <c r="F874">
        <v>0</v>
      </c>
      <c r="G874">
        <v>9</v>
      </c>
      <c r="H874">
        <v>1.1000000000000001</v>
      </c>
      <c r="I874" t="s">
        <v>32</v>
      </c>
      <c r="J874" s="33" t="s">
        <v>148</v>
      </c>
      <c r="M874" t="s">
        <v>65</v>
      </c>
      <c r="N874">
        <v>36</v>
      </c>
    </row>
    <row r="875" spans="1:14" x14ac:dyDescent="0.25">
      <c r="A875" t="s">
        <v>42</v>
      </c>
      <c r="B875">
        <v>3</v>
      </c>
      <c r="C875" t="s">
        <v>34</v>
      </c>
      <c r="D875" t="s">
        <v>50</v>
      </c>
      <c r="E875" s="2">
        <v>9</v>
      </c>
      <c r="F875">
        <v>0</v>
      </c>
      <c r="G875">
        <v>9</v>
      </c>
      <c r="H875">
        <v>10.199999999999999</v>
      </c>
      <c r="I875" t="s">
        <v>32</v>
      </c>
      <c r="J875" s="33" t="s">
        <v>148</v>
      </c>
      <c r="M875" t="s">
        <v>65</v>
      </c>
      <c r="N875">
        <v>11</v>
      </c>
    </row>
    <row r="876" spans="1:14" x14ac:dyDescent="0.25">
      <c r="A876" t="s">
        <v>54</v>
      </c>
      <c r="B876">
        <v>4</v>
      </c>
      <c r="C876" t="s">
        <v>30</v>
      </c>
      <c r="D876" t="s">
        <v>61</v>
      </c>
      <c r="E876" s="2">
        <v>9</v>
      </c>
      <c r="F876">
        <v>0</v>
      </c>
      <c r="G876">
        <v>9</v>
      </c>
      <c r="H876">
        <v>13.5</v>
      </c>
      <c r="I876" t="s">
        <v>32</v>
      </c>
      <c r="J876" s="33" t="s">
        <v>148</v>
      </c>
      <c r="M876" t="s">
        <v>65</v>
      </c>
      <c r="N876">
        <v>0</v>
      </c>
    </row>
    <row r="877" spans="1:14" x14ac:dyDescent="0.25">
      <c r="A877" t="s">
        <v>63</v>
      </c>
      <c r="B877">
        <v>1</v>
      </c>
      <c r="C877" t="s">
        <v>34</v>
      </c>
      <c r="D877" t="s">
        <v>67</v>
      </c>
      <c r="E877" s="2">
        <v>9</v>
      </c>
      <c r="F877">
        <v>0</v>
      </c>
      <c r="G877">
        <v>9</v>
      </c>
      <c r="H877">
        <v>6.1</v>
      </c>
      <c r="I877" t="s">
        <v>32</v>
      </c>
      <c r="J877" s="33" t="s">
        <v>148</v>
      </c>
      <c r="M877" t="s">
        <v>65</v>
      </c>
      <c r="N877">
        <v>0</v>
      </c>
    </row>
    <row r="878" spans="1:14" x14ac:dyDescent="0.25">
      <c r="A878" t="s">
        <v>68</v>
      </c>
      <c r="B878">
        <v>6</v>
      </c>
      <c r="C878" t="s">
        <v>34</v>
      </c>
      <c r="D878" t="s">
        <v>70</v>
      </c>
      <c r="E878" s="2">
        <v>9</v>
      </c>
      <c r="F878">
        <v>0</v>
      </c>
      <c r="G878">
        <v>9</v>
      </c>
      <c r="H878">
        <v>6</v>
      </c>
      <c r="I878" t="s">
        <v>32</v>
      </c>
      <c r="J878" s="33" t="s">
        <v>148</v>
      </c>
      <c r="M878" t="s">
        <v>65</v>
      </c>
      <c r="N878">
        <v>50</v>
      </c>
    </row>
    <row r="879" spans="1:14" x14ac:dyDescent="0.25">
      <c r="A879" t="s">
        <v>71</v>
      </c>
      <c r="B879">
        <v>8</v>
      </c>
      <c r="C879" t="s">
        <v>34</v>
      </c>
      <c r="D879" t="s">
        <v>73</v>
      </c>
      <c r="E879" s="2">
        <v>9</v>
      </c>
      <c r="F879">
        <v>9</v>
      </c>
      <c r="G879">
        <v>0</v>
      </c>
      <c r="H879">
        <v>0</v>
      </c>
      <c r="I879" t="s">
        <v>32</v>
      </c>
      <c r="J879" s="33" t="s">
        <v>148</v>
      </c>
      <c r="M879" t="s">
        <v>65</v>
      </c>
      <c r="N879">
        <v>4</v>
      </c>
    </row>
    <row r="880" spans="1:14" x14ac:dyDescent="0.25">
      <c r="A880" t="s">
        <v>71</v>
      </c>
      <c r="B880">
        <v>10</v>
      </c>
      <c r="C880" t="s">
        <v>34</v>
      </c>
      <c r="D880" t="s">
        <v>75</v>
      </c>
      <c r="E880" s="2">
        <v>9</v>
      </c>
      <c r="F880">
        <v>9</v>
      </c>
      <c r="G880">
        <v>0</v>
      </c>
      <c r="H880">
        <v>0</v>
      </c>
      <c r="I880" t="s">
        <v>32</v>
      </c>
      <c r="J880" s="33" t="s">
        <v>148</v>
      </c>
      <c r="M880" t="s">
        <v>65</v>
      </c>
      <c r="N880">
        <v>125</v>
      </c>
    </row>
    <row r="881" spans="1:14" x14ac:dyDescent="0.25">
      <c r="A881" t="s">
        <v>71</v>
      </c>
      <c r="B881">
        <v>11</v>
      </c>
      <c r="C881" t="s">
        <v>34</v>
      </c>
      <c r="D881" t="s">
        <v>77</v>
      </c>
      <c r="E881" s="2">
        <v>9</v>
      </c>
      <c r="F881">
        <v>0</v>
      </c>
      <c r="G881">
        <v>9</v>
      </c>
      <c r="H881">
        <v>9.6</v>
      </c>
      <c r="I881" t="s">
        <v>32</v>
      </c>
      <c r="J881" s="33" t="s">
        <v>148</v>
      </c>
      <c r="M881" t="s">
        <v>65</v>
      </c>
      <c r="N881">
        <v>16</v>
      </c>
    </row>
    <row r="882" spans="1:14" x14ac:dyDescent="0.25">
      <c r="A882" t="s">
        <v>29</v>
      </c>
      <c r="B882">
        <v>1</v>
      </c>
      <c r="C882" t="s">
        <v>30</v>
      </c>
      <c r="D882" t="s">
        <v>31</v>
      </c>
      <c r="E882" s="2">
        <v>10</v>
      </c>
      <c r="F882">
        <v>7</v>
      </c>
      <c r="G882">
        <v>3</v>
      </c>
      <c r="H882">
        <v>3</v>
      </c>
      <c r="I882" t="s">
        <v>33</v>
      </c>
      <c r="J882" s="33" t="s">
        <v>149</v>
      </c>
      <c r="M882" t="s">
        <v>65</v>
      </c>
      <c r="N882">
        <v>0</v>
      </c>
    </row>
    <row r="883" spans="1:14" x14ac:dyDescent="0.25">
      <c r="A883" t="s">
        <v>29</v>
      </c>
      <c r="B883">
        <v>1</v>
      </c>
      <c r="C883" t="s">
        <v>34</v>
      </c>
      <c r="D883" t="s">
        <v>35</v>
      </c>
      <c r="E883" s="2">
        <v>10</v>
      </c>
      <c r="F883">
        <v>0</v>
      </c>
      <c r="G883">
        <v>10</v>
      </c>
      <c r="H883">
        <v>4.5999999999999996</v>
      </c>
      <c r="I883" t="s">
        <v>33</v>
      </c>
      <c r="J883" s="33" t="s">
        <v>149</v>
      </c>
      <c r="M883" t="s">
        <v>65</v>
      </c>
      <c r="N883">
        <v>6</v>
      </c>
    </row>
    <row r="884" spans="1:14" x14ac:dyDescent="0.25">
      <c r="A884" t="s">
        <v>29</v>
      </c>
      <c r="B884">
        <v>2</v>
      </c>
      <c r="C884" t="s">
        <v>30</v>
      </c>
      <c r="D884" t="s">
        <v>36</v>
      </c>
      <c r="E884" s="2">
        <v>10</v>
      </c>
      <c r="F884">
        <v>0</v>
      </c>
      <c r="G884">
        <v>10</v>
      </c>
      <c r="H884">
        <v>7.4</v>
      </c>
      <c r="I884" t="s">
        <v>33</v>
      </c>
      <c r="J884" s="33" t="s">
        <v>149</v>
      </c>
      <c r="M884" t="s">
        <v>65</v>
      </c>
      <c r="N884">
        <v>6</v>
      </c>
    </row>
    <row r="885" spans="1:14" x14ac:dyDescent="0.25">
      <c r="A885" t="s">
        <v>29</v>
      </c>
      <c r="B885">
        <v>3</v>
      </c>
      <c r="C885" t="s">
        <v>34</v>
      </c>
      <c r="D885" t="s">
        <v>39</v>
      </c>
      <c r="E885" s="2">
        <v>10</v>
      </c>
      <c r="F885">
        <v>0</v>
      </c>
      <c r="G885">
        <v>10</v>
      </c>
      <c r="H885">
        <v>14.3</v>
      </c>
      <c r="I885" t="s">
        <v>33</v>
      </c>
      <c r="J885" s="33" t="s">
        <v>149</v>
      </c>
      <c r="M885" t="s">
        <v>65</v>
      </c>
      <c r="N885">
        <v>4</v>
      </c>
    </row>
    <row r="886" spans="1:14" x14ac:dyDescent="0.25">
      <c r="A886" t="s">
        <v>29</v>
      </c>
      <c r="B886">
        <v>4</v>
      </c>
      <c r="C886" t="s">
        <v>30</v>
      </c>
      <c r="D886" t="s">
        <v>40</v>
      </c>
      <c r="E886" s="2">
        <v>10</v>
      </c>
      <c r="F886">
        <v>0</v>
      </c>
      <c r="G886">
        <v>10</v>
      </c>
      <c r="H886">
        <v>10.199999999999999</v>
      </c>
      <c r="I886" t="s">
        <v>33</v>
      </c>
      <c r="J886" s="33" t="s">
        <v>149</v>
      </c>
      <c r="M886" t="s">
        <v>65</v>
      </c>
      <c r="N886">
        <v>140</v>
      </c>
    </row>
    <row r="887" spans="1:14" x14ac:dyDescent="0.25">
      <c r="A887" t="s">
        <v>42</v>
      </c>
      <c r="B887">
        <v>1</v>
      </c>
      <c r="C887" t="s">
        <v>30</v>
      </c>
      <c r="D887" t="s">
        <v>43</v>
      </c>
      <c r="E887" s="2">
        <v>10</v>
      </c>
      <c r="F887">
        <v>0</v>
      </c>
      <c r="G887">
        <v>10</v>
      </c>
      <c r="H887">
        <v>0.5</v>
      </c>
      <c r="I887" t="s">
        <v>32</v>
      </c>
      <c r="J887" s="33" t="s">
        <v>149</v>
      </c>
      <c r="M887" t="s">
        <v>65</v>
      </c>
      <c r="N887">
        <v>0</v>
      </c>
    </row>
    <row r="888" spans="1:14" x14ac:dyDescent="0.25">
      <c r="A888" t="s">
        <v>42</v>
      </c>
      <c r="B888">
        <v>1</v>
      </c>
      <c r="C888" t="s">
        <v>30</v>
      </c>
      <c r="D888" t="s">
        <v>43</v>
      </c>
      <c r="E888" s="2">
        <v>10</v>
      </c>
      <c r="F888">
        <v>10</v>
      </c>
      <c r="G888">
        <v>0</v>
      </c>
      <c r="H888">
        <v>0</v>
      </c>
      <c r="I888" t="s">
        <v>32</v>
      </c>
      <c r="J888" s="33" t="s">
        <v>149</v>
      </c>
      <c r="M888" t="s">
        <v>65</v>
      </c>
      <c r="N888">
        <v>61</v>
      </c>
    </row>
    <row r="889" spans="1:14" x14ac:dyDescent="0.25">
      <c r="A889" t="s">
        <v>42</v>
      </c>
      <c r="B889">
        <v>1</v>
      </c>
      <c r="C889" t="s">
        <v>34</v>
      </c>
      <c r="D889" t="s">
        <v>44</v>
      </c>
      <c r="E889" s="2">
        <v>10</v>
      </c>
      <c r="F889">
        <v>0</v>
      </c>
      <c r="G889">
        <v>10</v>
      </c>
      <c r="H889">
        <v>0.5</v>
      </c>
      <c r="I889" t="s">
        <v>32</v>
      </c>
      <c r="J889" s="33" t="s">
        <v>149</v>
      </c>
      <c r="M889" t="s">
        <v>65</v>
      </c>
      <c r="N889">
        <v>19</v>
      </c>
    </row>
    <row r="890" spans="1:14" x14ac:dyDescent="0.25">
      <c r="A890" t="s">
        <v>42</v>
      </c>
      <c r="B890">
        <v>1</v>
      </c>
      <c r="C890" t="s">
        <v>34</v>
      </c>
      <c r="D890" t="s">
        <v>44</v>
      </c>
      <c r="E890" s="2">
        <v>10</v>
      </c>
      <c r="F890">
        <v>0</v>
      </c>
      <c r="G890">
        <v>10</v>
      </c>
      <c r="H890">
        <v>4.3</v>
      </c>
      <c r="I890" t="s">
        <v>33</v>
      </c>
      <c r="J890" s="33" t="s">
        <v>149</v>
      </c>
      <c r="M890" t="s">
        <v>65</v>
      </c>
      <c r="N890">
        <v>5</v>
      </c>
    </row>
    <row r="891" spans="1:14" x14ac:dyDescent="0.25">
      <c r="A891" t="s">
        <v>42</v>
      </c>
      <c r="B891">
        <v>1</v>
      </c>
      <c r="C891" t="s">
        <v>34</v>
      </c>
      <c r="D891" t="s">
        <v>44</v>
      </c>
      <c r="E891" s="2">
        <v>10</v>
      </c>
      <c r="F891">
        <v>4.5</v>
      </c>
      <c r="G891">
        <v>5.5</v>
      </c>
      <c r="H891">
        <v>0</v>
      </c>
      <c r="I891" t="s">
        <v>32</v>
      </c>
      <c r="J891" s="33" t="s">
        <v>149</v>
      </c>
      <c r="M891" t="s">
        <v>65</v>
      </c>
      <c r="N891">
        <v>65</v>
      </c>
    </row>
    <row r="892" spans="1:14" x14ac:dyDescent="0.25">
      <c r="A892" t="s">
        <v>42</v>
      </c>
      <c r="B892">
        <v>1</v>
      </c>
      <c r="C892" t="s">
        <v>34</v>
      </c>
      <c r="D892" t="s">
        <v>44</v>
      </c>
      <c r="E892" s="2">
        <v>10</v>
      </c>
      <c r="F892">
        <v>0</v>
      </c>
      <c r="G892">
        <v>10</v>
      </c>
      <c r="H892">
        <v>6.1</v>
      </c>
      <c r="I892" t="s">
        <v>33</v>
      </c>
      <c r="J892" s="33" t="s">
        <v>149</v>
      </c>
      <c r="M892" t="s">
        <v>65</v>
      </c>
      <c r="N892">
        <v>25</v>
      </c>
    </row>
    <row r="893" spans="1:14" x14ac:dyDescent="0.25">
      <c r="A893" t="s">
        <v>42</v>
      </c>
      <c r="B893">
        <v>2</v>
      </c>
      <c r="C893" t="s">
        <v>34</v>
      </c>
      <c r="D893" t="s">
        <v>46</v>
      </c>
      <c r="E893" s="2">
        <v>10</v>
      </c>
      <c r="F893">
        <v>0</v>
      </c>
      <c r="G893">
        <v>10</v>
      </c>
      <c r="H893">
        <v>16.2</v>
      </c>
      <c r="I893" t="s">
        <v>33</v>
      </c>
      <c r="J893" s="33" t="s">
        <v>149</v>
      </c>
      <c r="M893" t="s">
        <v>65</v>
      </c>
      <c r="N893">
        <v>22</v>
      </c>
    </row>
    <row r="894" spans="1:14" x14ac:dyDescent="0.25">
      <c r="A894" t="s">
        <v>42</v>
      </c>
      <c r="B894">
        <v>2</v>
      </c>
      <c r="C894" t="s">
        <v>34</v>
      </c>
      <c r="D894" t="s">
        <v>46</v>
      </c>
      <c r="E894" s="2">
        <v>10</v>
      </c>
      <c r="F894">
        <v>0</v>
      </c>
      <c r="G894">
        <v>10</v>
      </c>
      <c r="H894">
        <v>4</v>
      </c>
      <c r="I894" t="s">
        <v>33</v>
      </c>
      <c r="J894" s="33" t="s">
        <v>149</v>
      </c>
      <c r="M894" t="s">
        <v>65</v>
      </c>
      <c r="N894">
        <v>0</v>
      </c>
    </row>
    <row r="895" spans="1:14" x14ac:dyDescent="0.25">
      <c r="A895" t="s">
        <v>42</v>
      </c>
      <c r="B895">
        <v>2</v>
      </c>
      <c r="C895" t="s">
        <v>34</v>
      </c>
      <c r="D895" t="s">
        <v>46</v>
      </c>
      <c r="E895" s="2">
        <v>10</v>
      </c>
      <c r="F895">
        <v>0</v>
      </c>
      <c r="G895">
        <v>10</v>
      </c>
      <c r="H895">
        <v>6.5</v>
      </c>
      <c r="I895" t="s">
        <v>33</v>
      </c>
      <c r="J895" s="33" t="s">
        <v>149</v>
      </c>
      <c r="M895" t="s">
        <v>65</v>
      </c>
      <c r="N895">
        <v>67</v>
      </c>
    </row>
    <row r="896" spans="1:14" x14ac:dyDescent="0.25">
      <c r="A896" t="s">
        <v>42</v>
      </c>
      <c r="B896">
        <v>5</v>
      </c>
      <c r="C896" t="s">
        <v>30</v>
      </c>
      <c r="D896" t="s">
        <v>47</v>
      </c>
      <c r="E896" s="2">
        <v>10</v>
      </c>
      <c r="F896">
        <v>0</v>
      </c>
      <c r="G896">
        <v>10</v>
      </c>
      <c r="H896">
        <v>5.0999999999999996</v>
      </c>
      <c r="I896" t="s">
        <v>33</v>
      </c>
      <c r="J896" s="33" t="s">
        <v>149</v>
      </c>
      <c r="M896" t="s">
        <v>65</v>
      </c>
      <c r="N896">
        <v>141</v>
      </c>
    </row>
    <row r="897" spans="1:14" x14ac:dyDescent="0.25">
      <c r="A897" t="s">
        <v>42</v>
      </c>
      <c r="B897">
        <v>5</v>
      </c>
      <c r="C897" t="s">
        <v>30</v>
      </c>
      <c r="D897" t="s">
        <v>47</v>
      </c>
      <c r="E897" s="2">
        <v>10</v>
      </c>
      <c r="F897">
        <v>0</v>
      </c>
      <c r="G897">
        <v>10</v>
      </c>
      <c r="H897">
        <v>10.9</v>
      </c>
      <c r="I897" t="s">
        <v>33</v>
      </c>
      <c r="J897" s="33" t="s">
        <v>149</v>
      </c>
      <c r="M897" t="s">
        <v>65</v>
      </c>
      <c r="N897">
        <v>0</v>
      </c>
    </row>
    <row r="898" spans="1:14" x14ac:dyDescent="0.25">
      <c r="A898" t="s">
        <v>42</v>
      </c>
      <c r="B898">
        <v>5</v>
      </c>
      <c r="C898" t="s">
        <v>34</v>
      </c>
      <c r="D898" t="s">
        <v>48</v>
      </c>
      <c r="E898" s="2">
        <v>10</v>
      </c>
      <c r="F898">
        <v>10</v>
      </c>
      <c r="G898">
        <v>0</v>
      </c>
      <c r="H898">
        <v>0</v>
      </c>
      <c r="I898" t="s">
        <v>32</v>
      </c>
      <c r="J898" s="33" t="s">
        <v>149</v>
      </c>
      <c r="M898" t="s">
        <v>65</v>
      </c>
      <c r="N898">
        <v>0</v>
      </c>
    </row>
    <row r="899" spans="1:14" x14ac:dyDescent="0.25">
      <c r="A899" t="s">
        <v>42</v>
      </c>
      <c r="B899">
        <v>3</v>
      </c>
      <c r="C899" t="s">
        <v>30</v>
      </c>
      <c r="D899" t="s">
        <v>49</v>
      </c>
      <c r="E899" s="2">
        <v>10</v>
      </c>
      <c r="F899">
        <v>0</v>
      </c>
      <c r="G899">
        <v>10</v>
      </c>
      <c r="H899">
        <v>11</v>
      </c>
      <c r="I899" t="s">
        <v>33</v>
      </c>
      <c r="J899" s="33" t="s">
        <v>149</v>
      </c>
      <c r="M899" t="s">
        <v>65</v>
      </c>
      <c r="N899">
        <v>76</v>
      </c>
    </row>
    <row r="900" spans="1:14" x14ac:dyDescent="0.25">
      <c r="A900" t="s">
        <v>42</v>
      </c>
      <c r="B900">
        <v>3</v>
      </c>
      <c r="C900" t="s">
        <v>30</v>
      </c>
      <c r="D900" t="s">
        <v>49</v>
      </c>
      <c r="E900" s="2">
        <v>10</v>
      </c>
      <c r="F900">
        <v>0</v>
      </c>
      <c r="G900">
        <v>10</v>
      </c>
      <c r="H900">
        <v>9.1</v>
      </c>
      <c r="I900" t="s">
        <v>33</v>
      </c>
      <c r="J900" s="33" t="s">
        <v>149</v>
      </c>
      <c r="M900" t="s">
        <v>65</v>
      </c>
      <c r="N900">
        <v>35</v>
      </c>
    </row>
    <row r="901" spans="1:14" x14ac:dyDescent="0.25">
      <c r="A901" t="s">
        <v>42</v>
      </c>
      <c r="B901">
        <v>3</v>
      </c>
      <c r="C901" t="s">
        <v>30</v>
      </c>
      <c r="D901" t="s">
        <v>49</v>
      </c>
      <c r="E901" s="2">
        <v>10</v>
      </c>
      <c r="F901">
        <v>0</v>
      </c>
      <c r="G901">
        <v>10</v>
      </c>
      <c r="H901">
        <v>9.1</v>
      </c>
      <c r="I901" t="s">
        <v>33</v>
      </c>
      <c r="J901" s="33" t="s">
        <v>149</v>
      </c>
      <c r="M901" t="s">
        <v>65</v>
      </c>
      <c r="N901">
        <v>0</v>
      </c>
    </row>
    <row r="902" spans="1:14" x14ac:dyDescent="0.25">
      <c r="A902" t="s">
        <v>54</v>
      </c>
      <c r="B902">
        <v>1</v>
      </c>
      <c r="C902" t="s">
        <v>30</v>
      </c>
      <c r="D902" t="s">
        <v>55</v>
      </c>
      <c r="E902" s="2">
        <v>10</v>
      </c>
      <c r="F902">
        <v>0</v>
      </c>
      <c r="G902">
        <v>10</v>
      </c>
      <c r="H902">
        <v>9.3000000000000007</v>
      </c>
      <c r="I902" t="s">
        <v>33</v>
      </c>
      <c r="J902" s="33" t="s">
        <v>149</v>
      </c>
      <c r="M902" t="s">
        <v>65</v>
      </c>
      <c r="N902">
        <v>47</v>
      </c>
    </row>
    <row r="903" spans="1:14" x14ac:dyDescent="0.25">
      <c r="A903" t="s">
        <v>54</v>
      </c>
      <c r="B903">
        <v>4</v>
      </c>
      <c r="C903" t="s">
        <v>34</v>
      </c>
      <c r="D903" t="s">
        <v>62</v>
      </c>
      <c r="E903" s="2">
        <v>10</v>
      </c>
      <c r="F903">
        <v>0</v>
      </c>
      <c r="G903">
        <v>10</v>
      </c>
      <c r="H903">
        <v>7.3</v>
      </c>
      <c r="I903" t="s">
        <v>33</v>
      </c>
      <c r="J903" s="33" t="s">
        <v>149</v>
      </c>
      <c r="M903" t="s">
        <v>65</v>
      </c>
      <c r="N903">
        <v>0</v>
      </c>
    </row>
    <row r="904" spans="1:14" x14ac:dyDescent="0.25">
      <c r="A904" t="s">
        <v>63</v>
      </c>
      <c r="B904">
        <v>5</v>
      </c>
      <c r="C904" t="s">
        <v>34</v>
      </c>
      <c r="D904" t="s">
        <v>65</v>
      </c>
      <c r="E904" s="2">
        <v>10</v>
      </c>
      <c r="F904">
        <v>0</v>
      </c>
      <c r="G904">
        <v>10</v>
      </c>
      <c r="H904">
        <v>2.5</v>
      </c>
      <c r="I904" t="s">
        <v>33</v>
      </c>
      <c r="J904" s="33" t="s">
        <v>149</v>
      </c>
      <c r="M904" t="s">
        <v>65</v>
      </c>
      <c r="N904">
        <v>6</v>
      </c>
    </row>
    <row r="905" spans="1:14" x14ac:dyDescent="0.25">
      <c r="A905" t="s">
        <v>63</v>
      </c>
      <c r="B905">
        <v>5</v>
      </c>
      <c r="C905" t="s">
        <v>34</v>
      </c>
      <c r="D905" t="s">
        <v>65</v>
      </c>
      <c r="E905" s="2">
        <v>10</v>
      </c>
      <c r="F905">
        <v>0</v>
      </c>
      <c r="G905">
        <v>10</v>
      </c>
      <c r="H905">
        <v>1.7</v>
      </c>
      <c r="I905" t="s">
        <v>33</v>
      </c>
      <c r="J905" s="33" t="s">
        <v>149</v>
      </c>
      <c r="M905" t="s">
        <v>65</v>
      </c>
      <c r="N905">
        <v>150</v>
      </c>
    </row>
    <row r="906" spans="1:14" x14ac:dyDescent="0.25">
      <c r="A906" t="s">
        <v>63</v>
      </c>
      <c r="B906">
        <v>1</v>
      </c>
      <c r="C906" t="s">
        <v>34</v>
      </c>
      <c r="D906" t="s">
        <v>67</v>
      </c>
      <c r="E906" s="2">
        <v>10</v>
      </c>
      <c r="F906">
        <v>0</v>
      </c>
      <c r="G906">
        <v>10</v>
      </c>
      <c r="H906">
        <v>14.3</v>
      </c>
      <c r="I906" t="s">
        <v>33</v>
      </c>
      <c r="J906" s="33" t="s">
        <v>149</v>
      </c>
      <c r="M906" t="s">
        <v>65</v>
      </c>
      <c r="N906">
        <v>104</v>
      </c>
    </row>
    <row r="907" spans="1:14" x14ac:dyDescent="0.25">
      <c r="A907" t="s">
        <v>63</v>
      </c>
      <c r="B907">
        <v>1</v>
      </c>
      <c r="C907" t="s">
        <v>34</v>
      </c>
      <c r="D907" t="s">
        <v>67</v>
      </c>
      <c r="E907" s="2">
        <v>10</v>
      </c>
      <c r="F907">
        <v>10</v>
      </c>
      <c r="G907">
        <v>0</v>
      </c>
      <c r="H907">
        <v>0</v>
      </c>
      <c r="I907" t="s">
        <v>32</v>
      </c>
      <c r="J907" s="33" t="s">
        <v>149</v>
      </c>
      <c r="M907" t="s">
        <v>65</v>
      </c>
      <c r="N907">
        <v>141</v>
      </c>
    </row>
    <row r="908" spans="1:14" x14ac:dyDescent="0.25">
      <c r="A908" t="s">
        <v>68</v>
      </c>
      <c r="B908">
        <v>6</v>
      </c>
      <c r="C908" t="s">
        <v>34</v>
      </c>
      <c r="D908" t="s">
        <v>70</v>
      </c>
      <c r="E908" s="2">
        <v>10</v>
      </c>
      <c r="F908">
        <v>0</v>
      </c>
      <c r="G908">
        <v>10</v>
      </c>
      <c r="H908">
        <v>5.2</v>
      </c>
      <c r="I908" t="s">
        <v>33</v>
      </c>
      <c r="J908" s="33" t="s">
        <v>149</v>
      </c>
      <c r="M908" t="s">
        <v>65</v>
      </c>
      <c r="N908">
        <v>44</v>
      </c>
    </row>
    <row r="909" spans="1:14" x14ac:dyDescent="0.25">
      <c r="A909" t="s">
        <v>71</v>
      </c>
      <c r="B909">
        <v>10</v>
      </c>
      <c r="C909" t="s">
        <v>34</v>
      </c>
      <c r="D909" t="s">
        <v>75</v>
      </c>
      <c r="E909" s="2">
        <v>10</v>
      </c>
      <c r="F909">
        <v>0</v>
      </c>
      <c r="G909">
        <v>10</v>
      </c>
      <c r="H909">
        <v>3.3</v>
      </c>
      <c r="I909" t="s">
        <v>33</v>
      </c>
      <c r="J909" s="33" t="s">
        <v>149</v>
      </c>
      <c r="M909" t="s">
        <v>65</v>
      </c>
      <c r="N909">
        <v>5</v>
      </c>
    </row>
    <row r="910" spans="1:14" x14ac:dyDescent="0.25">
      <c r="A910" t="s">
        <v>71</v>
      </c>
      <c r="B910">
        <v>11</v>
      </c>
      <c r="C910" t="s">
        <v>34</v>
      </c>
      <c r="D910" t="s">
        <v>77</v>
      </c>
      <c r="E910" s="2">
        <v>10</v>
      </c>
      <c r="F910">
        <v>0</v>
      </c>
      <c r="G910">
        <v>10</v>
      </c>
      <c r="H910">
        <v>2.4</v>
      </c>
      <c r="I910" t="s">
        <v>33</v>
      </c>
      <c r="J910" s="33" t="s">
        <v>149</v>
      </c>
      <c r="M910" t="s">
        <v>65</v>
      </c>
      <c r="N910">
        <v>8</v>
      </c>
    </row>
    <row r="911" spans="1:14" x14ac:dyDescent="0.25">
      <c r="A911" t="s">
        <v>71</v>
      </c>
      <c r="B911">
        <v>11</v>
      </c>
      <c r="C911" t="s">
        <v>34</v>
      </c>
      <c r="D911" t="s">
        <v>77</v>
      </c>
      <c r="E911" s="2">
        <v>10</v>
      </c>
      <c r="F911">
        <v>0</v>
      </c>
      <c r="G911">
        <v>10</v>
      </c>
      <c r="H911">
        <v>9.6</v>
      </c>
      <c r="I911" t="s">
        <v>33</v>
      </c>
      <c r="J911" s="33" t="s">
        <v>149</v>
      </c>
      <c r="M911" t="s">
        <v>65</v>
      </c>
      <c r="N911">
        <v>103</v>
      </c>
    </row>
    <row r="912" spans="1:14" x14ac:dyDescent="0.25">
      <c r="A912" t="s">
        <v>29</v>
      </c>
      <c r="B912">
        <v>1</v>
      </c>
      <c r="C912" t="s">
        <v>34</v>
      </c>
      <c r="D912" t="s">
        <v>35</v>
      </c>
      <c r="E912" s="2">
        <v>11</v>
      </c>
      <c r="F912">
        <v>11</v>
      </c>
      <c r="G912">
        <v>0</v>
      </c>
      <c r="H912">
        <v>0</v>
      </c>
      <c r="I912" t="s">
        <v>32</v>
      </c>
      <c r="J912" s="33" t="s">
        <v>149</v>
      </c>
      <c r="M912" t="s">
        <v>65</v>
      </c>
      <c r="N912">
        <v>152</v>
      </c>
    </row>
    <row r="913" spans="1:14" x14ac:dyDescent="0.25">
      <c r="A913" t="s">
        <v>29</v>
      </c>
      <c r="B913">
        <v>2</v>
      </c>
      <c r="C913" t="s">
        <v>30</v>
      </c>
      <c r="D913" t="s">
        <v>36</v>
      </c>
      <c r="E913" s="2">
        <v>11</v>
      </c>
      <c r="F913">
        <v>0</v>
      </c>
      <c r="G913">
        <v>11</v>
      </c>
      <c r="H913">
        <v>2.6</v>
      </c>
      <c r="I913" t="s">
        <v>33</v>
      </c>
      <c r="J913" s="33" t="s">
        <v>149</v>
      </c>
      <c r="M913" t="s">
        <v>65</v>
      </c>
      <c r="N913">
        <v>210</v>
      </c>
    </row>
    <row r="914" spans="1:14" x14ac:dyDescent="0.25">
      <c r="A914" t="s">
        <v>29</v>
      </c>
      <c r="B914">
        <v>2</v>
      </c>
      <c r="C914" t="s">
        <v>30</v>
      </c>
      <c r="D914" t="s">
        <v>36</v>
      </c>
      <c r="E914" s="2">
        <v>11</v>
      </c>
      <c r="F914">
        <v>0</v>
      </c>
      <c r="G914">
        <v>11</v>
      </c>
      <c r="H914">
        <v>4.5</v>
      </c>
      <c r="I914" t="s">
        <v>33</v>
      </c>
      <c r="J914" s="33" t="s">
        <v>149</v>
      </c>
      <c r="M914" t="s">
        <v>65</v>
      </c>
      <c r="N914">
        <v>62</v>
      </c>
    </row>
    <row r="915" spans="1:14" x14ac:dyDescent="0.25">
      <c r="A915" t="s">
        <v>29</v>
      </c>
      <c r="B915">
        <v>3</v>
      </c>
      <c r="C915" t="s">
        <v>30</v>
      </c>
      <c r="D915" t="s">
        <v>38</v>
      </c>
      <c r="E915" s="2">
        <v>11</v>
      </c>
      <c r="F915">
        <v>0</v>
      </c>
      <c r="G915">
        <v>11</v>
      </c>
      <c r="H915">
        <v>7.2</v>
      </c>
      <c r="I915" t="s">
        <v>33</v>
      </c>
      <c r="J915" s="33" t="s">
        <v>149</v>
      </c>
      <c r="M915" t="s">
        <v>65</v>
      </c>
      <c r="N915">
        <v>3</v>
      </c>
    </row>
    <row r="916" spans="1:14" x14ac:dyDescent="0.25">
      <c r="A916" t="s">
        <v>29</v>
      </c>
      <c r="B916">
        <v>3</v>
      </c>
      <c r="C916" t="s">
        <v>30</v>
      </c>
      <c r="D916" t="s">
        <v>38</v>
      </c>
      <c r="E916" s="2">
        <v>11</v>
      </c>
      <c r="F916">
        <v>8</v>
      </c>
      <c r="G916">
        <v>3</v>
      </c>
      <c r="H916">
        <v>0.2</v>
      </c>
      <c r="I916" t="s">
        <v>33</v>
      </c>
      <c r="J916" s="33" t="s">
        <v>149</v>
      </c>
      <c r="M916" t="s">
        <v>65</v>
      </c>
      <c r="N916">
        <v>16</v>
      </c>
    </row>
    <row r="917" spans="1:14" x14ac:dyDescent="0.25">
      <c r="A917" t="s">
        <v>29</v>
      </c>
      <c r="B917">
        <v>4</v>
      </c>
      <c r="C917" t="s">
        <v>34</v>
      </c>
      <c r="D917" t="s">
        <v>41</v>
      </c>
      <c r="E917" s="2">
        <v>11</v>
      </c>
      <c r="F917">
        <v>11</v>
      </c>
      <c r="G917">
        <v>0</v>
      </c>
      <c r="H917">
        <v>0</v>
      </c>
      <c r="I917" t="s">
        <v>32</v>
      </c>
      <c r="J917" s="33" t="s">
        <v>149</v>
      </c>
      <c r="M917" t="s">
        <v>65</v>
      </c>
      <c r="N917">
        <v>140</v>
      </c>
    </row>
    <row r="918" spans="1:14" x14ac:dyDescent="0.25">
      <c r="A918" t="s">
        <v>29</v>
      </c>
      <c r="B918">
        <v>4</v>
      </c>
      <c r="C918" t="s">
        <v>34</v>
      </c>
      <c r="D918" t="s">
        <v>41</v>
      </c>
      <c r="E918" s="2">
        <v>11</v>
      </c>
      <c r="F918">
        <v>0</v>
      </c>
      <c r="G918">
        <v>11</v>
      </c>
      <c r="H918">
        <v>10.4</v>
      </c>
      <c r="I918" t="s">
        <v>33</v>
      </c>
      <c r="J918" s="33" t="s">
        <v>149</v>
      </c>
      <c r="M918" t="s">
        <v>65</v>
      </c>
      <c r="N918">
        <v>77</v>
      </c>
    </row>
    <row r="919" spans="1:14" x14ac:dyDescent="0.25">
      <c r="A919" t="s">
        <v>42</v>
      </c>
      <c r="B919">
        <v>1</v>
      </c>
      <c r="C919" t="s">
        <v>34</v>
      </c>
      <c r="D919" t="s">
        <v>44</v>
      </c>
      <c r="E919" s="2">
        <v>11</v>
      </c>
      <c r="F919">
        <v>0</v>
      </c>
      <c r="G919">
        <v>11</v>
      </c>
      <c r="H919">
        <v>1.5</v>
      </c>
      <c r="I919" t="s">
        <v>33</v>
      </c>
      <c r="J919" s="33" t="s">
        <v>149</v>
      </c>
      <c r="M919" t="s">
        <v>65</v>
      </c>
      <c r="N919">
        <v>132</v>
      </c>
    </row>
    <row r="920" spans="1:14" x14ac:dyDescent="0.25">
      <c r="A920" t="s">
        <v>42</v>
      </c>
      <c r="B920">
        <v>1</v>
      </c>
      <c r="C920" t="s">
        <v>34</v>
      </c>
      <c r="D920" t="s">
        <v>44</v>
      </c>
      <c r="E920" s="2">
        <v>11</v>
      </c>
      <c r="F920">
        <v>0</v>
      </c>
      <c r="G920">
        <v>11</v>
      </c>
      <c r="H920">
        <v>4.8</v>
      </c>
      <c r="I920" t="s">
        <v>33</v>
      </c>
      <c r="J920" s="33" t="s">
        <v>149</v>
      </c>
      <c r="M920" t="s">
        <v>65</v>
      </c>
      <c r="N920">
        <v>64</v>
      </c>
    </row>
    <row r="921" spans="1:14" x14ac:dyDescent="0.25">
      <c r="A921" t="s">
        <v>42</v>
      </c>
      <c r="B921">
        <v>1</v>
      </c>
      <c r="C921" t="s">
        <v>34</v>
      </c>
      <c r="D921" t="s">
        <v>44</v>
      </c>
      <c r="E921" s="2">
        <v>11</v>
      </c>
      <c r="F921">
        <v>0</v>
      </c>
      <c r="G921">
        <v>11</v>
      </c>
      <c r="H921">
        <v>10</v>
      </c>
      <c r="I921" t="s">
        <v>33</v>
      </c>
      <c r="J921" s="33" t="s">
        <v>149</v>
      </c>
      <c r="M921" t="s">
        <v>65</v>
      </c>
      <c r="N921">
        <v>71</v>
      </c>
    </row>
    <row r="922" spans="1:14" x14ac:dyDescent="0.25">
      <c r="A922" t="s">
        <v>42</v>
      </c>
      <c r="B922">
        <v>2</v>
      </c>
      <c r="C922" t="s">
        <v>30</v>
      </c>
      <c r="D922" t="s">
        <v>45</v>
      </c>
      <c r="E922" s="2">
        <v>11</v>
      </c>
      <c r="F922">
        <v>0</v>
      </c>
      <c r="G922">
        <v>11</v>
      </c>
      <c r="H922">
        <v>1.7</v>
      </c>
      <c r="I922" t="s">
        <v>33</v>
      </c>
      <c r="J922" s="33" t="s">
        <v>149</v>
      </c>
      <c r="M922" t="s">
        <v>65</v>
      </c>
      <c r="N922">
        <v>15</v>
      </c>
    </row>
    <row r="923" spans="1:14" x14ac:dyDescent="0.25">
      <c r="A923" t="s">
        <v>42</v>
      </c>
      <c r="B923">
        <v>2</v>
      </c>
      <c r="C923" t="s">
        <v>34</v>
      </c>
      <c r="D923" t="s">
        <v>46</v>
      </c>
      <c r="E923" s="2">
        <v>11</v>
      </c>
      <c r="F923">
        <v>0</v>
      </c>
      <c r="G923">
        <v>11</v>
      </c>
      <c r="H923">
        <v>6.8</v>
      </c>
      <c r="I923" t="s">
        <v>33</v>
      </c>
      <c r="J923" s="33" t="s">
        <v>149</v>
      </c>
      <c r="M923" t="s">
        <v>65</v>
      </c>
      <c r="N923">
        <v>8</v>
      </c>
    </row>
    <row r="924" spans="1:14" x14ac:dyDescent="0.25">
      <c r="A924" t="s">
        <v>42</v>
      </c>
      <c r="B924">
        <v>5</v>
      </c>
      <c r="C924" t="s">
        <v>30</v>
      </c>
      <c r="D924" t="s">
        <v>47</v>
      </c>
      <c r="E924" s="2">
        <v>11</v>
      </c>
      <c r="F924">
        <v>0</v>
      </c>
      <c r="G924">
        <v>11</v>
      </c>
      <c r="H924">
        <v>10.7</v>
      </c>
      <c r="I924" t="s">
        <v>33</v>
      </c>
      <c r="J924" s="33" t="s">
        <v>149</v>
      </c>
      <c r="M924" t="s">
        <v>65</v>
      </c>
      <c r="N924">
        <v>53</v>
      </c>
    </row>
    <row r="925" spans="1:14" x14ac:dyDescent="0.25">
      <c r="A925" t="s">
        <v>42</v>
      </c>
      <c r="B925">
        <v>5</v>
      </c>
      <c r="C925" t="s">
        <v>34</v>
      </c>
      <c r="D925" t="s">
        <v>48</v>
      </c>
      <c r="E925" s="2">
        <v>11</v>
      </c>
      <c r="F925">
        <v>11</v>
      </c>
      <c r="G925">
        <v>0</v>
      </c>
      <c r="H925">
        <v>0</v>
      </c>
      <c r="I925" t="s">
        <v>32</v>
      </c>
      <c r="J925" s="33" t="s">
        <v>149</v>
      </c>
      <c r="M925" t="s">
        <v>65</v>
      </c>
      <c r="N925">
        <v>78</v>
      </c>
    </row>
    <row r="926" spans="1:14" x14ac:dyDescent="0.25">
      <c r="A926" t="s">
        <v>42</v>
      </c>
      <c r="B926">
        <v>3</v>
      </c>
      <c r="C926" t="s">
        <v>30</v>
      </c>
      <c r="D926" t="s">
        <v>49</v>
      </c>
      <c r="E926" s="2">
        <v>11</v>
      </c>
      <c r="F926">
        <v>0</v>
      </c>
      <c r="G926">
        <v>11</v>
      </c>
      <c r="H926">
        <v>11.2</v>
      </c>
      <c r="I926" t="s">
        <v>33</v>
      </c>
      <c r="J926" s="33" t="s">
        <v>149</v>
      </c>
      <c r="M926" t="s">
        <v>65</v>
      </c>
      <c r="N926">
        <v>0</v>
      </c>
    </row>
    <row r="927" spans="1:14" x14ac:dyDescent="0.25">
      <c r="A927" t="s">
        <v>52</v>
      </c>
      <c r="B927">
        <v>4</v>
      </c>
      <c r="C927" t="s">
        <v>34</v>
      </c>
      <c r="D927" t="s">
        <v>53</v>
      </c>
      <c r="E927" s="2">
        <v>11</v>
      </c>
      <c r="F927">
        <v>0</v>
      </c>
      <c r="G927">
        <v>11</v>
      </c>
      <c r="H927">
        <v>7.3</v>
      </c>
      <c r="I927" t="s">
        <v>33</v>
      </c>
      <c r="J927" s="33" t="s">
        <v>149</v>
      </c>
      <c r="M927" t="s">
        <v>65</v>
      </c>
      <c r="N927">
        <v>27</v>
      </c>
    </row>
    <row r="928" spans="1:14" x14ac:dyDescent="0.25">
      <c r="A928" t="s">
        <v>54</v>
      </c>
      <c r="B928">
        <v>1</v>
      </c>
      <c r="C928" t="s">
        <v>30</v>
      </c>
      <c r="D928" t="s">
        <v>55</v>
      </c>
      <c r="E928" s="2">
        <v>11</v>
      </c>
      <c r="F928">
        <v>0</v>
      </c>
      <c r="G928">
        <v>11</v>
      </c>
      <c r="H928">
        <v>4.0999999999999996</v>
      </c>
      <c r="I928" t="s">
        <v>33</v>
      </c>
      <c r="J928" s="33" t="s">
        <v>149</v>
      </c>
      <c r="M928" t="s">
        <v>65</v>
      </c>
      <c r="N928">
        <v>82</v>
      </c>
    </row>
    <row r="929" spans="1:14" x14ac:dyDescent="0.25">
      <c r="A929" t="s">
        <v>54</v>
      </c>
      <c r="B929">
        <v>4</v>
      </c>
      <c r="C929" t="s">
        <v>30</v>
      </c>
      <c r="D929" t="s">
        <v>61</v>
      </c>
      <c r="E929" s="2">
        <v>11</v>
      </c>
      <c r="F929">
        <v>0</v>
      </c>
      <c r="G929">
        <v>11</v>
      </c>
      <c r="H929">
        <v>6.7</v>
      </c>
      <c r="I929" t="s">
        <v>33</v>
      </c>
      <c r="J929" s="33" t="s">
        <v>149</v>
      </c>
      <c r="M929" t="s">
        <v>65</v>
      </c>
      <c r="N929">
        <v>10</v>
      </c>
    </row>
    <row r="930" spans="1:14" x14ac:dyDescent="0.25">
      <c r="A930" t="s">
        <v>54</v>
      </c>
      <c r="B930">
        <v>4</v>
      </c>
      <c r="C930" t="s">
        <v>34</v>
      </c>
      <c r="D930" t="s">
        <v>62</v>
      </c>
      <c r="E930" s="2">
        <v>11</v>
      </c>
      <c r="F930">
        <v>11</v>
      </c>
      <c r="G930">
        <v>0</v>
      </c>
      <c r="H930">
        <v>0</v>
      </c>
      <c r="I930" t="s">
        <v>32</v>
      </c>
      <c r="J930" s="33" t="s">
        <v>149</v>
      </c>
      <c r="M930" t="s">
        <v>65</v>
      </c>
      <c r="N930">
        <v>111</v>
      </c>
    </row>
    <row r="931" spans="1:14" x14ac:dyDescent="0.25">
      <c r="A931" t="s">
        <v>54</v>
      </c>
      <c r="B931">
        <v>4</v>
      </c>
      <c r="C931" t="s">
        <v>34</v>
      </c>
      <c r="D931" t="s">
        <v>62</v>
      </c>
      <c r="E931" s="2">
        <v>11</v>
      </c>
      <c r="F931">
        <v>11</v>
      </c>
      <c r="G931">
        <v>0</v>
      </c>
      <c r="H931">
        <v>0</v>
      </c>
      <c r="I931" t="s">
        <v>32</v>
      </c>
      <c r="J931" s="33" t="s">
        <v>149</v>
      </c>
      <c r="M931" t="s">
        <v>65</v>
      </c>
      <c r="N931">
        <v>5</v>
      </c>
    </row>
    <row r="932" spans="1:14" x14ac:dyDescent="0.25">
      <c r="A932" t="s">
        <v>63</v>
      </c>
      <c r="B932">
        <v>5</v>
      </c>
      <c r="C932" t="s">
        <v>34</v>
      </c>
      <c r="D932" t="s">
        <v>65</v>
      </c>
      <c r="E932" s="2">
        <v>11</v>
      </c>
      <c r="F932">
        <v>0</v>
      </c>
      <c r="G932">
        <v>11</v>
      </c>
      <c r="H932">
        <v>5.3</v>
      </c>
      <c r="I932" t="s">
        <v>33</v>
      </c>
      <c r="J932" s="33" t="s">
        <v>149</v>
      </c>
      <c r="M932" t="s">
        <v>65</v>
      </c>
      <c r="N932">
        <v>17</v>
      </c>
    </row>
    <row r="933" spans="1:14" x14ac:dyDescent="0.25">
      <c r="A933" t="s">
        <v>63</v>
      </c>
      <c r="B933">
        <v>5</v>
      </c>
      <c r="C933" t="s">
        <v>34</v>
      </c>
      <c r="D933" t="s">
        <v>65</v>
      </c>
      <c r="E933" s="2">
        <v>11</v>
      </c>
      <c r="F933">
        <v>11</v>
      </c>
      <c r="G933">
        <v>0</v>
      </c>
      <c r="H933">
        <v>0</v>
      </c>
      <c r="I933" t="s">
        <v>32</v>
      </c>
      <c r="J933" s="33" t="s">
        <v>149</v>
      </c>
      <c r="M933" t="s">
        <v>65</v>
      </c>
      <c r="N933">
        <v>72</v>
      </c>
    </row>
    <row r="934" spans="1:14" x14ac:dyDescent="0.25">
      <c r="A934" t="s">
        <v>63</v>
      </c>
      <c r="B934">
        <v>5</v>
      </c>
      <c r="C934" t="s">
        <v>34</v>
      </c>
      <c r="D934" t="s">
        <v>65</v>
      </c>
      <c r="E934" s="2">
        <v>11</v>
      </c>
      <c r="F934">
        <v>0</v>
      </c>
      <c r="G934">
        <v>11</v>
      </c>
      <c r="H934">
        <v>2.1</v>
      </c>
      <c r="I934" t="s">
        <v>33</v>
      </c>
      <c r="J934" s="33" t="s">
        <v>149</v>
      </c>
      <c r="M934" t="s">
        <v>65</v>
      </c>
      <c r="N934">
        <v>0</v>
      </c>
    </row>
    <row r="935" spans="1:14" x14ac:dyDescent="0.25">
      <c r="A935" t="s">
        <v>63</v>
      </c>
      <c r="B935">
        <v>5</v>
      </c>
      <c r="C935" t="s">
        <v>34</v>
      </c>
      <c r="D935" t="s">
        <v>65</v>
      </c>
      <c r="E935" s="2">
        <v>11</v>
      </c>
      <c r="F935">
        <v>0</v>
      </c>
      <c r="G935">
        <v>11</v>
      </c>
      <c r="H935">
        <v>1.7</v>
      </c>
      <c r="I935" t="s">
        <v>33</v>
      </c>
      <c r="J935" s="33" t="s">
        <v>149</v>
      </c>
      <c r="M935" t="s">
        <v>65</v>
      </c>
      <c r="N935">
        <v>50</v>
      </c>
    </row>
    <row r="936" spans="1:14" x14ac:dyDescent="0.25">
      <c r="A936" t="s">
        <v>63</v>
      </c>
      <c r="B936">
        <v>1</v>
      </c>
      <c r="C936" t="s">
        <v>34</v>
      </c>
      <c r="D936" t="s">
        <v>67</v>
      </c>
      <c r="E936" s="2">
        <v>11</v>
      </c>
      <c r="F936">
        <v>0</v>
      </c>
      <c r="G936">
        <v>11</v>
      </c>
      <c r="H936">
        <v>12</v>
      </c>
      <c r="I936" t="s">
        <v>33</v>
      </c>
      <c r="J936" s="33" t="s">
        <v>149</v>
      </c>
      <c r="M936" t="s">
        <v>65</v>
      </c>
      <c r="N936">
        <v>56</v>
      </c>
    </row>
    <row r="937" spans="1:14" x14ac:dyDescent="0.25">
      <c r="A937" t="s">
        <v>68</v>
      </c>
      <c r="B937">
        <v>6</v>
      </c>
      <c r="C937" t="s">
        <v>34</v>
      </c>
      <c r="D937" t="s">
        <v>70</v>
      </c>
      <c r="E937" s="2">
        <v>11</v>
      </c>
      <c r="F937">
        <v>11</v>
      </c>
      <c r="G937">
        <v>0</v>
      </c>
      <c r="H937">
        <v>0</v>
      </c>
      <c r="I937" t="s">
        <v>32</v>
      </c>
      <c r="J937" s="33" t="s">
        <v>149</v>
      </c>
      <c r="M937" t="s">
        <v>65</v>
      </c>
      <c r="N937">
        <v>67</v>
      </c>
    </row>
    <row r="938" spans="1:14" x14ac:dyDescent="0.25">
      <c r="A938" t="s">
        <v>71</v>
      </c>
      <c r="B938">
        <v>8</v>
      </c>
      <c r="C938" t="s">
        <v>30</v>
      </c>
      <c r="D938" t="s">
        <v>72</v>
      </c>
      <c r="E938" s="2">
        <v>11</v>
      </c>
      <c r="F938">
        <v>0</v>
      </c>
      <c r="G938">
        <v>11</v>
      </c>
      <c r="H938">
        <v>5.7</v>
      </c>
      <c r="I938" t="s">
        <v>33</v>
      </c>
      <c r="J938" s="33" t="s">
        <v>149</v>
      </c>
      <c r="M938" t="s">
        <v>65</v>
      </c>
      <c r="N938">
        <v>3</v>
      </c>
    </row>
    <row r="939" spans="1:14" x14ac:dyDescent="0.25">
      <c r="A939" t="s">
        <v>71</v>
      </c>
      <c r="B939">
        <v>8</v>
      </c>
      <c r="C939" t="s">
        <v>34</v>
      </c>
      <c r="D939" t="s">
        <v>73</v>
      </c>
      <c r="E939" s="2">
        <v>11</v>
      </c>
      <c r="F939">
        <v>0</v>
      </c>
      <c r="G939">
        <v>11</v>
      </c>
      <c r="H939">
        <v>9.3000000000000007</v>
      </c>
      <c r="I939" t="s">
        <v>33</v>
      </c>
      <c r="J939" s="33" t="s">
        <v>149</v>
      </c>
      <c r="M939" t="s">
        <v>65</v>
      </c>
      <c r="N939">
        <v>53</v>
      </c>
    </row>
    <row r="940" spans="1:14" x14ac:dyDescent="0.25">
      <c r="A940" t="s">
        <v>71</v>
      </c>
      <c r="B940">
        <v>10</v>
      </c>
      <c r="C940" t="s">
        <v>34</v>
      </c>
      <c r="D940" t="s">
        <v>75</v>
      </c>
      <c r="E940" s="2">
        <v>11</v>
      </c>
      <c r="F940">
        <v>0</v>
      </c>
      <c r="G940">
        <v>11</v>
      </c>
      <c r="H940">
        <v>8.6999999999999993</v>
      </c>
      <c r="I940" t="s">
        <v>33</v>
      </c>
      <c r="J940" s="33" t="s">
        <v>149</v>
      </c>
      <c r="M940" t="s">
        <v>65</v>
      </c>
      <c r="N940">
        <v>81</v>
      </c>
    </row>
    <row r="941" spans="1:14" x14ac:dyDescent="0.25">
      <c r="A941" t="s">
        <v>71</v>
      </c>
      <c r="B941">
        <v>10</v>
      </c>
      <c r="C941" t="s">
        <v>34</v>
      </c>
      <c r="D941" t="s">
        <v>75</v>
      </c>
      <c r="E941" s="2">
        <v>11</v>
      </c>
      <c r="F941">
        <v>0</v>
      </c>
      <c r="G941">
        <v>11</v>
      </c>
      <c r="H941">
        <v>8.1</v>
      </c>
      <c r="I941" t="s">
        <v>33</v>
      </c>
      <c r="J941" s="33" t="s">
        <v>149</v>
      </c>
      <c r="M941" t="s">
        <v>65</v>
      </c>
      <c r="N941">
        <v>65</v>
      </c>
    </row>
    <row r="942" spans="1:14" x14ac:dyDescent="0.25">
      <c r="A942" t="s">
        <v>29</v>
      </c>
      <c r="B942">
        <v>1</v>
      </c>
      <c r="C942" t="s">
        <v>30</v>
      </c>
      <c r="D942" t="s">
        <v>31</v>
      </c>
      <c r="E942" s="2">
        <v>12</v>
      </c>
      <c r="F942">
        <v>0</v>
      </c>
      <c r="G942">
        <v>12</v>
      </c>
      <c r="H942">
        <v>5.0999999999999996</v>
      </c>
      <c r="I942" t="s">
        <v>33</v>
      </c>
      <c r="J942" s="33" t="s">
        <v>149</v>
      </c>
      <c r="M942" t="s">
        <v>65</v>
      </c>
      <c r="N942">
        <v>6</v>
      </c>
    </row>
    <row r="943" spans="1:14" x14ac:dyDescent="0.25">
      <c r="A943" t="s">
        <v>29</v>
      </c>
      <c r="B943">
        <v>1</v>
      </c>
      <c r="C943" t="s">
        <v>34</v>
      </c>
      <c r="D943" t="s">
        <v>35</v>
      </c>
      <c r="E943" s="2">
        <v>12</v>
      </c>
      <c r="F943">
        <v>0</v>
      </c>
      <c r="G943">
        <v>12</v>
      </c>
      <c r="H943">
        <v>3.4</v>
      </c>
      <c r="I943" t="s">
        <v>33</v>
      </c>
      <c r="J943" s="33" t="s">
        <v>149</v>
      </c>
      <c r="M943" t="s">
        <v>65</v>
      </c>
      <c r="N943">
        <v>30</v>
      </c>
    </row>
    <row r="944" spans="1:14" x14ac:dyDescent="0.25">
      <c r="A944" t="s">
        <v>29</v>
      </c>
      <c r="B944">
        <v>1</v>
      </c>
      <c r="C944" t="s">
        <v>34</v>
      </c>
      <c r="D944" t="s">
        <v>35</v>
      </c>
      <c r="E944" s="2">
        <v>12</v>
      </c>
      <c r="F944">
        <v>0</v>
      </c>
      <c r="G944">
        <v>12</v>
      </c>
      <c r="H944">
        <v>0.7</v>
      </c>
      <c r="I944" t="s">
        <v>32</v>
      </c>
      <c r="J944" s="33" t="s">
        <v>149</v>
      </c>
      <c r="M944" t="s">
        <v>65</v>
      </c>
      <c r="N944">
        <v>140</v>
      </c>
    </row>
    <row r="945" spans="1:14" x14ac:dyDescent="0.25">
      <c r="A945" t="s">
        <v>29</v>
      </c>
      <c r="B945">
        <v>1</v>
      </c>
      <c r="C945" t="s">
        <v>34</v>
      </c>
      <c r="D945" t="s">
        <v>35</v>
      </c>
      <c r="E945" s="2">
        <v>12</v>
      </c>
      <c r="F945">
        <v>0</v>
      </c>
      <c r="G945">
        <v>12</v>
      </c>
      <c r="H945">
        <v>4.3</v>
      </c>
      <c r="I945" t="s">
        <v>33</v>
      </c>
      <c r="J945" s="33" t="s">
        <v>149</v>
      </c>
      <c r="M945" t="s">
        <v>65</v>
      </c>
      <c r="N945">
        <v>36</v>
      </c>
    </row>
    <row r="946" spans="1:14" x14ac:dyDescent="0.25">
      <c r="A946" t="s">
        <v>29</v>
      </c>
      <c r="B946">
        <v>2</v>
      </c>
      <c r="C946" t="s">
        <v>30</v>
      </c>
      <c r="D946" t="s">
        <v>36</v>
      </c>
      <c r="E946" s="2">
        <v>12</v>
      </c>
      <c r="F946">
        <v>0</v>
      </c>
      <c r="G946">
        <v>12</v>
      </c>
      <c r="H946">
        <v>3.9</v>
      </c>
      <c r="I946" t="s">
        <v>33</v>
      </c>
      <c r="J946" s="33" t="s">
        <v>149</v>
      </c>
      <c r="M946" t="s">
        <v>65</v>
      </c>
      <c r="N946">
        <v>108</v>
      </c>
    </row>
    <row r="947" spans="1:14" x14ac:dyDescent="0.25">
      <c r="A947" t="s">
        <v>29</v>
      </c>
      <c r="B947">
        <v>2</v>
      </c>
      <c r="C947" t="s">
        <v>30</v>
      </c>
      <c r="D947" t="s">
        <v>36</v>
      </c>
      <c r="E947" s="2">
        <v>12</v>
      </c>
      <c r="F947">
        <v>0</v>
      </c>
      <c r="G947">
        <v>12</v>
      </c>
      <c r="H947">
        <v>10</v>
      </c>
      <c r="I947" t="s">
        <v>33</v>
      </c>
      <c r="J947" s="33" t="s">
        <v>149</v>
      </c>
      <c r="M947" t="s">
        <v>65</v>
      </c>
      <c r="N947">
        <v>36</v>
      </c>
    </row>
    <row r="948" spans="1:14" x14ac:dyDescent="0.25">
      <c r="A948" t="s">
        <v>29</v>
      </c>
      <c r="B948">
        <v>3</v>
      </c>
      <c r="C948" t="s">
        <v>30</v>
      </c>
      <c r="D948" t="s">
        <v>38</v>
      </c>
      <c r="E948" s="2">
        <v>12</v>
      </c>
      <c r="F948">
        <v>0</v>
      </c>
      <c r="G948">
        <v>12</v>
      </c>
      <c r="H948">
        <v>7.3</v>
      </c>
      <c r="I948" t="s">
        <v>33</v>
      </c>
      <c r="J948" s="33" t="s">
        <v>149</v>
      </c>
      <c r="M948" t="s">
        <v>65</v>
      </c>
      <c r="N948">
        <v>0</v>
      </c>
    </row>
    <row r="949" spans="1:14" x14ac:dyDescent="0.25">
      <c r="A949" t="s">
        <v>29</v>
      </c>
      <c r="B949">
        <v>3</v>
      </c>
      <c r="C949" t="s">
        <v>30</v>
      </c>
      <c r="D949" t="s">
        <v>38</v>
      </c>
      <c r="E949" s="2">
        <v>12</v>
      </c>
      <c r="F949">
        <v>0</v>
      </c>
      <c r="G949">
        <v>12</v>
      </c>
      <c r="H949">
        <v>13.1</v>
      </c>
      <c r="I949" t="s">
        <v>33</v>
      </c>
      <c r="J949" s="33" t="s">
        <v>149</v>
      </c>
      <c r="M949" t="s">
        <v>65</v>
      </c>
      <c r="N949">
        <v>16</v>
      </c>
    </row>
    <row r="950" spans="1:14" x14ac:dyDescent="0.25">
      <c r="A950" t="s">
        <v>29</v>
      </c>
      <c r="B950">
        <v>3</v>
      </c>
      <c r="C950" t="s">
        <v>34</v>
      </c>
      <c r="D950" t="s">
        <v>39</v>
      </c>
      <c r="E950" s="2">
        <v>12</v>
      </c>
      <c r="F950">
        <v>0</v>
      </c>
      <c r="G950">
        <v>12</v>
      </c>
      <c r="H950">
        <v>14.6</v>
      </c>
      <c r="I950" t="s">
        <v>33</v>
      </c>
      <c r="J950" s="33" t="s">
        <v>149</v>
      </c>
      <c r="M950" t="s">
        <v>65</v>
      </c>
      <c r="N950">
        <v>27</v>
      </c>
    </row>
    <row r="951" spans="1:14" x14ac:dyDescent="0.25">
      <c r="A951" t="s">
        <v>29</v>
      </c>
      <c r="B951">
        <v>4</v>
      </c>
      <c r="C951" t="s">
        <v>30</v>
      </c>
      <c r="D951" t="s">
        <v>40</v>
      </c>
      <c r="E951" s="2">
        <v>12</v>
      </c>
      <c r="F951">
        <v>0</v>
      </c>
      <c r="G951">
        <v>12</v>
      </c>
      <c r="H951">
        <v>12.1</v>
      </c>
      <c r="I951" t="s">
        <v>33</v>
      </c>
      <c r="J951" s="33" t="s">
        <v>149</v>
      </c>
      <c r="M951" t="s">
        <v>65</v>
      </c>
      <c r="N951">
        <v>39</v>
      </c>
    </row>
    <row r="952" spans="1:14" x14ac:dyDescent="0.25">
      <c r="A952" t="s">
        <v>29</v>
      </c>
      <c r="B952">
        <v>4</v>
      </c>
      <c r="C952" t="s">
        <v>30</v>
      </c>
      <c r="D952" t="s">
        <v>40</v>
      </c>
      <c r="E952" s="2">
        <v>12</v>
      </c>
      <c r="F952">
        <v>0</v>
      </c>
      <c r="G952">
        <v>12</v>
      </c>
      <c r="H952">
        <v>12.7</v>
      </c>
      <c r="I952" t="s">
        <v>33</v>
      </c>
      <c r="J952" s="33" t="s">
        <v>149</v>
      </c>
      <c r="M952" t="s">
        <v>65</v>
      </c>
      <c r="N952">
        <v>6</v>
      </c>
    </row>
    <row r="953" spans="1:14" x14ac:dyDescent="0.25">
      <c r="A953" t="s">
        <v>42</v>
      </c>
      <c r="B953">
        <v>1</v>
      </c>
      <c r="C953" t="s">
        <v>30</v>
      </c>
      <c r="D953" t="s">
        <v>43</v>
      </c>
      <c r="E953" s="2">
        <v>12</v>
      </c>
      <c r="F953">
        <v>0</v>
      </c>
      <c r="G953">
        <v>12</v>
      </c>
      <c r="H953">
        <v>2.5</v>
      </c>
      <c r="I953" t="s">
        <v>33</v>
      </c>
      <c r="J953" s="33" t="s">
        <v>149</v>
      </c>
      <c r="M953" t="s">
        <v>65</v>
      </c>
      <c r="N953">
        <v>0</v>
      </c>
    </row>
    <row r="954" spans="1:14" x14ac:dyDescent="0.25">
      <c r="A954" t="s">
        <v>42</v>
      </c>
      <c r="B954">
        <v>1</v>
      </c>
      <c r="C954" t="s">
        <v>30</v>
      </c>
      <c r="D954" t="s">
        <v>43</v>
      </c>
      <c r="E954" s="2">
        <v>12</v>
      </c>
      <c r="F954">
        <v>0</v>
      </c>
      <c r="G954">
        <v>12</v>
      </c>
      <c r="H954">
        <v>2.2000000000000002</v>
      </c>
      <c r="I954" t="s">
        <v>33</v>
      </c>
      <c r="J954" s="33" t="s">
        <v>149</v>
      </c>
      <c r="M954" t="s">
        <v>65</v>
      </c>
      <c r="N954">
        <v>5</v>
      </c>
    </row>
    <row r="955" spans="1:14" x14ac:dyDescent="0.25">
      <c r="A955" t="s">
        <v>42</v>
      </c>
      <c r="B955">
        <v>1</v>
      </c>
      <c r="C955" t="s">
        <v>30</v>
      </c>
      <c r="D955" t="s">
        <v>43</v>
      </c>
      <c r="E955" s="2">
        <v>12</v>
      </c>
      <c r="F955">
        <v>0</v>
      </c>
      <c r="G955">
        <v>12</v>
      </c>
      <c r="H955">
        <v>6.3</v>
      </c>
      <c r="I955" t="s">
        <v>33</v>
      </c>
      <c r="J955" s="33" t="s">
        <v>149</v>
      </c>
      <c r="M955" t="s">
        <v>65</v>
      </c>
      <c r="N955">
        <v>91</v>
      </c>
    </row>
    <row r="956" spans="1:14" x14ac:dyDescent="0.25">
      <c r="A956" t="s">
        <v>42</v>
      </c>
      <c r="B956">
        <v>1</v>
      </c>
      <c r="C956" t="s">
        <v>34</v>
      </c>
      <c r="D956" t="s">
        <v>44</v>
      </c>
      <c r="E956" s="2">
        <v>12</v>
      </c>
      <c r="F956">
        <v>0</v>
      </c>
      <c r="G956">
        <v>12</v>
      </c>
      <c r="H956">
        <v>11</v>
      </c>
      <c r="I956" t="s">
        <v>33</v>
      </c>
      <c r="J956" s="33" t="s">
        <v>149</v>
      </c>
      <c r="M956" t="s">
        <v>65</v>
      </c>
      <c r="N956">
        <v>49</v>
      </c>
    </row>
    <row r="957" spans="1:14" x14ac:dyDescent="0.25">
      <c r="A957" t="s">
        <v>42</v>
      </c>
      <c r="B957">
        <v>1</v>
      </c>
      <c r="C957" t="s">
        <v>34</v>
      </c>
      <c r="D957" t="s">
        <v>44</v>
      </c>
      <c r="E957" s="2">
        <v>12</v>
      </c>
      <c r="F957">
        <v>0</v>
      </c>
      <c r="G957">
        <v>12</v>
      </c>
      <c r="H957">
        <v>2</v>
      </c>
      <c r="I957" t="s">
        <v>33</v>
      </c>
      <c r="J957" s="33" t="s">
        <v>149</v>
      </c>
      <c r="M957" t="s">
        <v>65</v>
      </c>
      <c r="N957">
        <v>72</v>
      </c>
    </row>
    <row r="958" spans="1:14" x14ac:dyDescent="0.25">
      <c r="A958" t="s">
        <v>42</v>
      </c>
      <c r="B958">
        <v>2</v>
      </c>
      <c r="C958" t="s">
        <v>34</v>
      </c>
      <c r="D958" t="s">
        <v>46</v>
      </c>
      <c r="E958" s="2">
        <v>12</v>
      </c>
      <c r="F958">
        <v>0</v>
      </c>
      <c r="G958">
        <v>12</v>
      </c>
      <c r="H958">
        <v>10.7</v>
      </c>
      <c r="I958" t="s">
        <v>33</v>
      </c>
      <c r="J958" s="33" t="s">
        <v>149</v>
      </c>
      <c r="M958" t="s">
        <v>65</v>
      </c>
      <c r="N958">
        <v>10</v>
      </c>
    </row>
    <row r="959" spans="1:14" x14ac:dyDescent="0.25">
      <c r="A959" t="s">
        <v>42</v>
      </c>
      <c r="B959">
        <v>2</v>
      </c>
      <c r="C959" t="s">
        <v>34</v>
      </c>
      <c r="D959" t="s">
        <v>46</v>
      </c>
      <c r="E959" s="2">
        <v>12</v>
      </c>
      <c r="F959">
        <v>0</v>
      </c>
      <c r="G959">
        <v>12</v>
      </c>
      <c r="H959">
        <v>4.8</v>
      </c>
      <c r="I959" t="s">
        <v>33</v>
      </c>
      <c r="J959" s="33" t="s">
        <v>149</v>
      </c>
      <c r="M959" t="s">
        <v>65</v>
      </c>
      <c r="N959">
        <v>44</v>
      </c>
    </row>
    <row r="960" spans="1:14" x14ac:dyDescent="0.25">
      <c r="A960" t="s">
        <v>42</v>
      </c>
      <c r="B960">
        <v>3</v>
      </c>
      <c r="C960" t="s">
        <v>34</v>
      </c>
      <c r="D960" t="s">
        <v>50</v>
      </c>
      <c r="E960" s="2">
        <v>12</v>
      </c>
      <c r="F960">
        <v>12</v>
      </c>
      <c r="G960">
        <v>0</v>
      </c>
      <c r="H960">
        <v>0</v>
      </c>
      <c r="I960" t="s">
        <v>32</v>
      </c>
      <c r="J960" s="33" t="s">
        <v>149</v>
      </c>
      <c r="M960" t="s">
        <v>65</v>
      </c>
      <c r="N960">
        <v>5</v>
      </c>
    </row>
    <row r="961" spans="1:14" x14ac:dyDescent="0.25">
      <c r="A961" t="s">
        <v>54</v>
      </c>
      <c r="B961">
        <v>1</v>
      </c>
      <c r="C961" t="s">
        <v>30</v>
      </c>
      <c r="D961" t="s">
        <v>55</v>
      </c>
      <c r="E961" s="2">
        <v>12</v>
      </c>
      <c r="F961">
        <v>0</v>
      </c>
      <c r="G961">
        <v>12</v>
      </c>
      <c r="H961">
        <v>11.4</v>
      </c>
      <c r="I961" t="s">
        <v>33</v>
      </c>
      <c r="J961" s="33" t="s">
        <v>149</v>
      </c>
      <c r="M961" t="s">
        <v>65</v>
      </c>
      <c r="N961">
        <v>54</v>
      </c>
    </row>
    <row r="962" spans="1:14" x14ac:dyDescent="0.25">
      <c r="A962" t="s">
        <v>54</v>
      </c>
      <c r="B962">
        <v>1</v>
      </c>
      <c r="C962" t="s">
        <v>30</v>
      </c>
      <c r="D962" t="s">
        <v>55</v>
      </c>
      <c r="E962" s="2">
        <v>12</v>
      </c>
      <c r="F962">
        <v>0</v>
      </c>
      <c r="G962">
        <v>12</v>
      </c>
      <c r="H962">
        <v>10.5</v>
      </c>
      <c r="I962" t="s">
        <v>33</v>
      </c>
      <c r="J962" s="33" t="s">
        <v>149</v>
      </c>
      <c r="M962" t="s">
        <v>65</v>
      </c>
      <c r="N962">
        <v>30</v>
      </c>
    </row>
    <row r="963" spans="1:14" x14ac:dyDescent="0.25">
      <c r="A963" t="s">
        <v>54</v>
      </c>
      <c r="B963">
        <v>1</v>
      </c>
      <c r="C963" t="s">
        <v>30</v>
      </c>
      <c r="D963" t="s">
        <v>55</v>
      </c>
      <c r="E963" s="2">
        <v>12</v>
      </c>
      <c r="F963">
        <v>0</v>
      </c>
      <c r="G963">
        <v>12</v>
      </c>
      <c r="H963">
        <v>12.3</v>
      </c>
      <c r="I963" t="s">
        <v>33</v>
      </c>
      <c r="J963" s="33" t="s">
        <v>149</v>
      </c>
      <c r="M963" t="s">
        <v>65</v>
      </c>
      <c r="N963">
        <v>120</v>
      </c>
    </row>
    <row r="964" spans="1:14" x14ac:dyDescent="0.25">
      <c r="A964" t="s">
        <v>54</v>
      </c>
      <c r="B964">
        <v>1</v>
      </c>
      <c r="C964" t="s">
        <v>30</v>
      </c>
      <c r="D964" t="s">
        <v>55</v>
      </c>
      <c r="E964" s="2">
        <v>12</v>
      </c>
      <c r="F964">
        <v>0</v>
      </c>
      <c r="G964">
        <v>12</v>
      </c>
      <c r="H964">
        <v>15.8</v>
      </c>
      <c r="I964" t="s">
        <v>33</v>
      </c>
      <c r="J964" s="33" t="s">
        <v>149</v>
      </c>
      <c r="M964" t="s">
        <v>65</v>
      </c>
      <c r="N964">
        <v>53</v>
      </c>
    </row>
    <row r="965" spans="1:14" x14ac:dyDescent="0.25">
      <c r="A965" t="s">
        <v>54</v>
      </c>
      <c r="B965">
        <v>4</v>
      </c>
      <c r="C965" t="s">
        <v>30</v>
      </c>
      <c r="D965" t="s">
        <v>61</v>
      </c>
      <c r="E965" s="2">
        <v>12</v>
      </c>
      <c r="F965">
        <v>12</v>
      </c>
      <c r="G965">
        <v>0</v>
      </c>
      <c r="H965">
        <v>0</v>
      </c>
      <c r="I965" t="s">
        <v>32</v>
      </c>
      <c r="J965" s="33" t="s">
        <v>149</v>
      </c>
      <c r="M965" t="s">
        <v>67</v>
      </c>
      <c r="N965">
        <v>26</v>
      </c>
    </row>
    <row r="966" spans="1:14" x14ac:dyDescent="0.25">
      <c r="A966" t="s">
        <v>54</v>
      </c>
      <c r="B966">
        <v>4</v>
      </c>
      <c r="C966" t="s">
        <v>34</v>
      </c>
      <c r="D966" t="s">
        <v>62</v>
      </c>
      <c r="E966" s="2">
        <v>12</v>
      </c>
      <c r="F966">
        <v>0</v>
      </c>
      <c r="G966">
        <v>12</v>
      </c>
      <c r="H966">
        <v>0.5</v>
      </c>
      <c r="I966" t="s">
        <v>32</v>
      </c>
      <c r="J966" s="33" t="s">
        <v>149</v>
      </c>
      <c r="M966" t="s">
        <v>67</v>
      </c>
      <c r="N966">
        <v>5</v>
      </c>
    </row>
    <row r="967" spans="1:14" x14ac:dyDescent="0.25">
      <c r="A967" t="s">
        <v>63</v>
      </c>
      <c r="B967">
        <v>5</v>
      </c>
      <c r="C967" t="s">
        <v>34</v>
      </c>
      <c r="D967" t="s">
        <v>65</v>
      </c>
      <c r="E967" s="2">
        <v>12</v>
      </c>
      <c r="F967">
        <v>0</v>
      </c>
      <c r="G967">
        <v>12</v>
      </c>
      <c r="H967">
        <v>9</v>
      </c>
      <c r="I967" t="s">
        <v>33</v>
      </c>
      <c r="J967" s="33" t="s">
        <v>149</v>
      </c>
      <c r="M967" t="s">
        <v>67</v>
      </c>
      <c r="N967">
        <v>56</v>
      </c>
    </row>
    <row r="968" spans="1:14" x14ac:dyDescent="0.25">
      <c r="A968" t="s">
        <v>63</v>
      </c>
      <c r="B968">
        <v>1</v>
      </c>
      <c r="C968" t="s">
        <v>34</v>
      </c>
      <c r="D968" t="s">
        <v>67</v>
      </c>
      <c r="E968" s="2">
        <v>12</v>
      </c>
      <c r="F968">
        <v>6</v>
      </c>
      <c r="G968">
        <v>6</v>
      </c>
      <c r="H968">
        <v>8</v>
      </c>
      <c r="I968" t="s">
        <v>33</v>
      </c>
      <c r="J968" s="33" t="s">
        <v>149</v>
      </c>
      <c r="M968" t="s">
        <v>67</v>
      </c>
      <c r="N968">
        <v>23</v>
      </c>
    </row>
    <row r="969" spans="1:14" x14ac:dyDescent="0.25">
      <c r="A969" t="s">
        <v>71</v>
      </c>
      <c r="B969">
        <v>10</v>
      </c>
      <c r="C969" t="s">
        <v>34</v>
      </c>
      <c r="D969" t="s">
        <v>75</v>
      </c>
      <c r="E969" s="2">
        <v>12</v>
      </c>
      <c r="F969">
        <v>0</v>
      </c>
      <c r="G969">
        <v>12</v>
      </c>
      <c r="H969">
        <v>3.3</v>
      </c>
      <c r="I969" t="s">
        <v>33</v>
      </c>
      <c r="J969" s="33" t="s">
        <v>149</v>
      </c>
      <c r="M969" t="s">
        <v>67</v>
      </c>
      <c r="N969">
        <v>16</v>
      </c>
    </row>
    <row r="970" spans="1:14" x14ac:dyDescent="0.25">
      <c r="A970" t="s">
        <v>71</v>
      </c>
      <c r="B970">
        <v>10</v>
      </c>
      <c r="C970" t="s">
        <v>34</v>
      </c>
      <c r="D970" t="s">
        <v>75</v>
      </c>
      <c r="E970" s="2">
        <v>12</v>
      </c>
      <c r="F970">
        <v>0</v>
      </c>
      <c r="G970">
        <v>12</v>
      </c>
      <c r="H970">
        <v>4.4000000000000004</v>
      </c>
      <c r="I970" t="s">
        <v>33</v>
      </c>
      <c r="J970" s="33" t="s">
        <v>149</v>
      </c>
      <c r="M970" t="s">
        <v>67</v>
      </c>
      <c r="N970">
        <v>136</v>
      </c>
    </row>
    <row r="971" spans="1:14" x14ac:dyDescent="0.25">
      <c r="A971" t="s">
        <v>71</v>
      </c>
      <c r="B971">
        <v>11</v>
      </c>
      <c r="C971" t="s">
        <v>34</v>
      </c>
      <c r="D971" t="s">
        <v>77</v>
      </c>
      <c r="E971" s="2">
        <v>12</v>
      </c>
      <c r="F971">
        <v>0</v>
      </c>
      <c r="G971">
        <v>12</v>
      </c>
      <c r="H971">
        <v>2</v>
      </c>
      <c r="I971" t="s">
        <v>33</v>
      </c>
      <c r="J971" s="33" t="s">
        <v>149</v>
      </c>
      <c r="M971" t="s">
        <v>67</v>
      </c>
      <c r="N971">
        <v>10</v>
      </c>
    </row>
    <row r="972" spans="1:14" x14ac:dyDescent="0.25">
      <c r="A972" t="s">
        <v>29</v>
      </c>
      <c r="B972">
        <v>1</v>
      </c>
      <c r="C972" t="s">
        <v>30</v>
      </c>
      <c r="D972" t="s">
        <v>31</v>
      </c>
      <c r="E972" s="2">
        <v>13</v>
      </c>
      <c r="F972">
        <v>10</v>
      </c>
      <c r="G972">
        <v>3</v>
      </c>
      <c r="H972">
        <v>0</v>
      </c>
      <c r="I972" t="s">
        <v>32</v>
      </c>
      <c r="J972" s="33" t="s">
        <v>149</v>
      </c>
      <c r="M972" t="s">
        <v>67</v>
      </c>
      <c r="N972">
        <v>5</v>
      </c>
    </row>
    <row r="973" spans="1:14" x14ac:dyDescent="0.25">
      <c r="A973" t="s">
        <v>29</v>
      </c>
      <c r="B973">
        <v>1</v>
      </c>
      <c r="C973" t="s">
        <v>34</v>
      </c>
      <c r="D973" t="s">
        <v>35</v>
      </c>
      <c r="E973" s="2">
        <v>13</v>
      </c>
      <c r="F973">
        <v>0</v>
      </c>
      <c r="G973">
        <v>13</v>
      </c>
      <c r="H973">
        <v>7</v>
      </c>
      <c r="I973" t="s">
        <v>33</v>
      </c>
      <c r="J973" s="33" t="s">
        <v>149</v>
      </c>
      <c r="M973" t="s">
        <v>67</v>
      </c>
      <c r="N973">
        <v>86</v>
      </c>
    </row>
    <row r="974" spans="1:14" x14ac:dyDescent="0.25">
      <c r="A974" t="s">
        <v>29</v>
      </c>
      <c r="B974">
        <v>1</v>
      </c>
      <c r="C974" t="s">
        <v>34</v>
      </c>
      <c r="D974" t="s">
        <v>35</v>
      </c>
      <c r="E974" s="2">
        <v>13</v>
      </c>
      <c r="F974">
        <v>0</v>
      </c>
      <c r="G974">
        <v>13</v>
      </c>
      <c r="H974">
        <v>7.1</v>
      </c>
      <c r="I974" t="s">
        <v>33</v>
      </c>
      <c r="J974" s="33" t="s">
        <v>149</v>
      </c>
      <c r="M974" t="s">
        <v>67</v>
      </c>
      <c r="N974">
        <v>67</v>
      </c>
    </row>
    <row r="975" spans="1:14" x14ac:dyDescent="0.25">
      <c r="A975" t="s">
        <v>29</v>
      </c>
      <c r="B975">
        <v>1</v>
      </c>
      <c r="C975" t="s">
        <v>34</v>
      </c>
      <c r="D975" t="s">
        <v>35</v>
      </c>
      <c r="E975" s="2">
        <v>13</v>
      </c>
      <c r="F975">
        <v>0</v>
      </c>
      <c r="G975">
        <v>13</v>
      </c>
      <c r="H975">
        <v>6.3</v>
      </c>
      <c r="I975" t="s">
        <v>33</v>
      </c>
      <c r="J975" s="33" t="s">
        <v>149</v>
      </c>
      <c r="M975" t="s">
        <v>67</v>
      </c>
      <c r="N975">
        <v>6</v>
      </c>
    </row>
    <row r="976" spans="1:14" x14ac:dyDescent="0.25">
      <c r="A976" t="s">
        <v>29</v>
      </c>
      <c r="B976">
        <v>2</v>
      </c>
      <c r="C976" t="s">
        <v>30</v>
      </c>
      <c r="D976" t="s">
        <v>36</v>
      </c>
      <c r="E976" s="2">
        <v>13</v>
      </c>
      <c r="F976">
        <v>0</v>
      </c>
      <c r="G976">
        <v>13</v>
      </c>
      <c r="H976">
        <v>11</v>
      </c>
      <c r="I976" t="s">
        <v>33</v>
      </c>
      <c r="J976" s="33" t="s">
        <v>149</v>
      </c>
      <c r="M976" t="s">
        <v>67</v>
      </c>
      <c r="N976">
        <v>50</v>
      </c>
    </row>
    <row r="977" spans="1:14" x14ac:dyDescent="0.25">
      <c r="A977" t="s">
        <v>29</v>
      </c>
      <c r="B977">
        <v>2</v>
      </c>
      <c r="C977" t="s">
        <v>30</v>
      </c>
      <c r="D977" t="s">
        <v>36</v>
      </c>
      <c r="E977" s="2">
        <v>13</v>
      </c>
      <c r="F977">
        <v>0</v>
      </c>
      <c r="G977">
        <v>13</v>
      </c>
      <c r="H977">
        <v>7.4</v>
      </c>
      <c r="I977" t="s">
        <v>33</v>
      </c>
      <c r="J977" s="33" t="s">
        <v>149</v>
      </c>
      <c r="M977" t="s">
        <v>67</v>
      </c>
      <c r="N977">
        <v>107</v>
      </c>
    </row>
    <row r="978" spans="1:14" x14ac:dyDescent="0.25">
      <c r="A978" t="s">
        <v>29</v>
      </c>
      <c r="B978">
        <v>3</v>
      </c>
      <c r="C978" t="s">
        <v>34</v>
      </c>
      <c r="D978" t="s">
        <v>39</v>
      </c>
      <c r="E978" s="2">
        <v>13</v>
      </c>
      <c r="F978">
        <v>0</v>
      </c>
      <c r="G978">
        <v>13</v>
      </c>
      <c r="H978">
        <v>12.5</v>
      </c>
      <c r="I978" t="s">
        <v>33</v>
      </c>
      <c r="J978" s="33" t="s">
        <v>149</v>
      </c>
      <c r="M978" t="s">
        <v>67</v>
      </c>
      <c r="N978">
        <v>125</v>
      </c>
    </row>
    <row r="979" spans="1:14" x14ac:dyDescent="0.25">
      <c r="A979" t="s">
        <v>29</v>
      </c>
      <c r="B979">
        <v>3</v>
      </c>
      <c r="C979" t="s">
        <v>34</v>
      </c>
      <c r="D979" t="s">
        <v>39</v>
      </c>
      <c r="E979" s="2">
        <v>13</v>
      </c>
      <c r="F979">
        <v>6</v>
      </c>
      <c r="G979">
        <v>7</v>
      </c>
      <c r="H979">
        <v>3.2</v>
      </c>
      <c r="I979" t="s">
        <v>33</v>
      </c>
      <c r="J979" s="33" t="s">
        <v>149</v>
      </c>
      <c r="M979" t="s">
        <v>67</v>
      </c>
      <c r="N979">
        <v>0</v>
      </c>
    </row>
    <row r="980" spans="1:14" x14ac:dyDescent="0.25">
      <c r="A980" t="s">
        <v>29</v>
      </c>
      <c r="B980">
        <v>3</v>
      </c>
      <c r="C980" t="s">
        <v>34</v>
      </c>
      <c r="D980" t="s">
        <v>39</v>
      </c>
      <c r="E980" s="2">
        <v>13</v>
      </c>
      <c r="F980">
        <v>0</v>
      </c>
      <c r="G980">
        <v>13</v>
      </c>
      <c r="H980">
        <v>12.1</v>
      </c>
      <c r="I980" t="s">
        <v>33</v>
      </c>
      <c r="J980" s="33" t="s">
        <v>149</v>
      </c>
      <c r="M980" t="s">
        <v>67</v>
      </c>
      <c r="N980">
        <v>9</v>
      </c>
    </row>
    <row r="981" spans="1:14" x14ac:dyDescent="0.25">
      <c r="A981" t="s">
        <v>29</v>
      </c>
      <c r="B981">
        <v>3</v>
      </c>
      <c r="C981" t="s">
        <v>34</v>
      </c>
      <c r="D981" t="s">
        <v>39</v>
      </c>
      <c r="E981" s="2">
        <v>13</v>
      </c>
      <c r="F981">
        <v>13</v>
      </c>
      <c r="G981">
        <v>0</v>
      </c>
      <c r="H981">
        <v>0</v>
      </c>
      <c r="I981" t="s">
        <v>32</v>
      </c>
      <c r="J981" s="33" t="s">
        <v>149</v>
      </c>
      <c r="M981" t="s">
        <v>67</v>
      </c>
      <c r="N981">
        <v>0</v>
      </c>
    </row>
    <row r="982" spans="1:14" x14ac:dyDescent="0.25">
      <c r="A982" t="s">
        <v>29</v>
      </c>
      <c r="B982">
        <v>4</v>
      </c>
      <c r="C982" t="s">
        <v>30</v>
      </c>
      <c r="D982" t="s">
        <v>40</v>
      </c>
      <c r="E982" s="2">
        <v>13</v>
      </c>
      <c r="F982">
        <v>0</v>
      </c>
      <c r="G982">
        <v>13</v>
      </c>
      <c r="H982">
        <v>4</v>
      </c>
      <c r="I982" t="s">
        <v>33</v>
      </c>
      <c r="J982" s="33" t="s">
        <v>149</v>
      </c>
      <c r="M982" t="s">
        <v>67</v>
      </c>
      <c r="N982">
        <v>107</v>
      </c>
    </row>
    <row r="983" spans="1:14" x14ac:dyDescent="0.25">
      <c r="A983" t="s">
        <v>29</v>
      </c>
      <c r="B983">
        <v>4</v>
      </c>
      <c r="C983" t="s">
        <v>30</v>
      </c>
      <c r="D983" t="s">
        <v>40</v>
      </c>
      <c r="E983" s="2">
        <v>13</v>
      </c>
      <c r="F983">
        <v>0</v>
      </c>
      <c r="G983">
        <v>13</v>
      </c>
      <c r="H983">
        <v>9.8000000000000007</v>
      </c>
      <c r="I983" t="s">
        <v>33</v>
      </c>
      <c r="J983" s="33" t="s">
        <v>149</v>
      </c>
      <c r="M983" t="s">
        <v>67</v>
      </c>
      <c r="N983">
        <v>123</v>
      </c>
    </row>
    <row r="984" spans="1:14" x14ac:dyDescent="0.25">
      <c r="A984" t="s">
        <v>29</v>
      </c>
      <c r="B984">
        <v>4</v>
      </c>
      <c r="C984" t="s">
        <v>30</v>
      </c>
      <c r="D984" t="s">
        <v>40</v>
      </c>
      <c r="E984" s="2">
        <v>13</v>
      </c>
      <c r="F984">
        <v>0</v>
      </c>
      <c r="G984">
        <v>13</v>
      </c>
      <c r="H984">
        <v>10.6</v>
      </c>
      <c r="I984" t="s">
        <v>33</v>
      </c>
      <c r="J984" s="33" t="s">
        <v>149</v>
      </c>
      <c r="M984" t="s">
        <v>67</v>
      </c>
      <c r="N984">
        <v>30</v>
      </c>
    </row>
    <row r="985" spans="1:14" x14ac:dyDescent="0.25">
      <c r="A985" t="s">
        <v>29</v>
      </c>
      <c r="B985">
        <v>4</v>
      </c>
      <c r="C985" t="s">
        <v>30</v>
      </c>
      <c r="D985" t="s">
        <v>40</v>
      </c>
      <c r="E985" s="2">
        <v>13</v>
      </c>
      <c r="F985">
        <v>6</v>
      </c>
      <c r="G985">
        <v>7</v>
      </c>
      <c r="H985">
        <v>2.5</v>
      </c>
      <c r="I985" t="s">
        <v>33</v>
      </c>
      <c r="J985" s="33" t="s">
        <v>149</v>
      </c>
      <c r="M985" t="s">
        <v>67</v>
      </c>
      <c r="N985">
        <v>57</v>
      </c>
    </row>
    <row r="986" spans="1:14" x14ac:dyDescent="0.25">
      <c r="A986" t="s">
        <v>42</v>
      </c>
      <c r="B986">
        <v>1</v>
      </c>
      <c r="C986" t="s">
        <v>30</v>
      </c>
      <c r="D986" t="s">
        <v>43</v>
      </c>
      <c r="E986" s="2">
        <v>13</v>
      </c>
      <c r="F986">
        <v>0</v>
      </c>
      <c r="G986">
        <v>13</v>
      </c>
      <c r="H986">
        <v>0</v>
      </c>
      <c r="I986" t="s">
        <v>32</v>
      </c>
      <c r="J986" s="33" t="s">
        <v>149</v>
      </c>
      <c r="M986" t="s">
        <v>67</v>
      </c>
      <c r="N986">
        <v>0</v>
      </c>
    </row>
    <row r="987" spans="1:14" x14ac:dyDescent="0.25">
      <c r="A987" t="s">
        <v>42</v>
      </c>
      <c r="B987">
        <v>1</v>
      </c>
      <c r="C987" t="s">
        <v>30</v>
      </c>
      <c r="D987" t="s">
        <v>43</v>
      </c>
      <c r="E987" s="2">
        <v>13</v>
      </c>
      <c r="F987">
        <v>0</v>
      </c>
      <c r="G987">
        <v>13</v>
      </c>
      <c r="H987">
        <v>4</v>
      </c>
      <c r="I987" t="s">
        <v>33</v>
      </c>
      <c r="J987" s="33" t="s">
        <v>149</v>
      </c>
      <c r="M987" t="s">
        <v>67</v>
      </c>
      <c r="N987">
        <v>4</v>
      </c>
    </row>
    <row r="988" spans="1:14" x14ac:dyDescent="0.25">
      <c r="A988" t="s">
        <v>42</v>
      </c>
      <c r="B988">
        <v>1</v>
      </c>
      <c r="C988" t="s">
        <v>34</v>
      </c>
      <c r="D988" t="s">
        <v>44</v>
      </c>
      <c r="E988" s="2">
        <v>13</v>
      </c>
      <c r="F988">
        <v>0</v>
      </c>
      <c r="G988">
        <v>13</v>
      </c>
      <c r="H988">
        <v>6.9</v>
      </c>
      <c r="I988" t="s">
        <v>33</v>
      </c>
      <c r="J988" s="33" t="s">
        <v>149</v>
      </c>
      <c r="M988" t="s">
        <v>67</v>
      </c>
      <c r="N988">
        <v>80</v>
      </c>
    </row>
    <row r="989" spans="1:14" x14ac:dyDescent="0.25">
      <c r="A989" t="s">
        <v>42</v>
      </c>
      <c r="B989">
        <v>1</v>
      </c>
      <c r="C989" t="s">
        <v>34</v>
      </c>
      <c r="D989" t="s">
        <v>44</v>
      </c>
      <c r="E989" s="2">
        <v>13</v>
      </c>
      <c r="F989">
        <v>0</v>
      </c>
      <c r="G989">
        <v>13</v>
      </c>
      <c r="H989">
        <v>10.8</v>
      </c>
      <c r="I989" t="s">
        <v>33</v>
      </c>
      <c r="J989" s="33" t="s">
        <v>149</v>
      </c>
      <c r="M989" t="s">
        <v>67</v>
      </c>
      <c r="N989">
        <v>26</v>
      </c>
    </row>
    <row r="990" spans="1:14" x14ac:dyDescent="0.25">
      <c r="A990" t="s">
        <v>42</v>
      </c>
      <c r="B990">
        <v>2</v>
      </c>
      <c r="C990" t="s">
        <v>30</v>
      </c>
      <c r="D990" t="s">
        <v>45</v>
      </c>
      <c r="E990" s="2">
        <v>13</v>
      </c>
      <c r="F990">
        <v>0</v>
      </c>
      <c r="G990">
        <v>13</v>
      </c>
      <c r="H990">
        <v>11</v>
      </c>
      <c r="I990" t="s">
        <v>33</v>
      </c>
      <c r="J990" s="33" t="s">
        <v>149</v>
      </c>
      <c r="M990" t="s">
        <v>67</v>
      </c>
      <c r="N990">
        <v>89</v>
      </c>
    </row>
    <row r="991" spans="1:14" x14ac:dyDescent="0.25">
      <c r="A991" t="s">
        <v>42</v>
      </c>
      <c r="B991">
        <v>2</v>
      </c>
      <c r="C991" t="s">
        <v>34</v>
      </c>
      <c r="D991" t="s">
        <v>46</v>
      </c>
      <c r="E991" s="2">
        <v>13</v>
      </c>
      <c r="F991">
        <v>0</v>
      </c>
      <c r="G991">
        <v>13</v>
      </c>
      <c r="H991">
        <v>2</v>
      </c>
      <c r="I991" t="s">
        <v>33</v>
      </c>
      <c r="J991" s="33" t="s">
        <v>149</v>
      </c>
      <c r="M991" t="s">
        <v>67</v>
      </c>
      <c r="N991">
        <v>63</v>
      </c>
    </row>
    <row r="992" spans="1:14" x14ac:dyDescent="0.25">
      <c r="A992" t="s">
        <v>42</v>
      </c>
      <c r="B992">
        <v>2</v>
      </c>
      <c r="C992" t="s">
        <v>34</v>
      </c>
      <c r="D992" t="s">
        <v>46</v>
      </c>
      <c r="E992" s="2">
        <v>13</v>
      </c>
      <c r="F992">
        <v>0</v>
      </c>
      <c r="G992">
        <v>13</v>
      </c>
      <c r="H992">
        <v>11</v>
      </c>
      <c r="I992" t="s">
        <v>33</v>
      </c>
      <c r="J992" s="33" t="s">
        <v>149</v>
      </c>
      <c r="M992" t="s">
        <v>67</v>
      </c>
      <c r="N992">
        <v>8</v>
      </c>
    </row>
    <row r="993" spans="1:14" x14ac:dyDescent="0.25">
      <c r="A993" t="s">
        <v>42</v>
      </c>
      <c r="B993">
        <v>5</v>
      </c>
      <c r="C993" t="s">
        <v>34</v>
      </c>
      <c r="D993" t="s">
        <v>48</v>
      </c>
      <c r="E993" s="2">
        <v>13</v>
      </c>
      <c r="F993">
        <v>13</v>
      </c>
      <c r="G993">
        <v>0</v>
      </c>
      <c r="H993">
        <v>0</v>
      </c>
      <c r="I993" t="s">
        <v>32</v>
      </c>
      <c r="J993" s="33" t="s">
        <v>149</v>
      </c>
      <c r="M993" t="s">
        <v>67</v>
      </c>
      <c r="N993">
        <v>62</v>
      </c>
    </row>
    <row r="994" spans="1:14" x14ac:dyDescent="0.25">
      <c r="A994" t="s">
        <v>54</v>
      </c>
      <c r="B994">
        <v>1</v>
      </c>
      <c r="C994" t="s">
        <v>30</v>
      </c>
      <c r="D994" t="s">
        <v>55</v>
      </c>
      <c r="E994" s="2">
        <v>13</v>
      </c>
      <c r="F994">
        <v>0</v>
      </c>
      <c r="G994">
        <v>13</v>
      </c>
      <c r="H994">
        <v>6.3</v>
      </c>
      <c r="I994" t="s">
        <v>33</v>
      </c>
      <c r="J994" s="33" t="s">
        <v>149</v>
      </c>
      <c r="M994" t="s">
        <v>67</v>
      </c>
      <c r="N994">
        <v>53</v>
      </c>
    </row>
    <row r="995" spans="1:14" x14ac:dyDescent="0.25">
      <c r="A995" t="s">
        <v>54</v>
      </c>
      <c r="B995">
        <v>1</v>
      </c>
      <c r="C995" t="s">
        <v>30</v>
      </c>
      <c r="D995" t="s">
        <v>55</v>
      </c>
      <c r="E995" s="2">
        <v>13</v>
      </c>
      <c r="F995">
        <v>0</v>
      </c>
      <c r="G995">
        <v>13</v>
      </c>
      <c r="H995">
        <v>17.100000000000001</v>
      </c>
      <c r="I995" t="s">
        <v>33</v>
      </c>
      <c r="J995" s="33" t="s">
        <v>149</v>
      </c>
      <c r="M995" t="s">
        <v>67</v>
      </c>
      <c r="N995">
        <v>31</v>
      </c>
    </row>
    <row r="996" spans="1:14" x14ac:dyDescent="0.25">
      <c r="A996" t="s">
        <v>63</v>
      </c>
      <c r="B996">
        <v>5</v>
      </c>
      <c r="C996" t="s">
        <v>34</v>
      </c>
      <c r="D996" t="s">
        <v>65</v>
      </c>
      <c r="E996" s="2">
        <v>13</v>
      </c>
      <c r="F996">
        <v>13</v>
      </c>
      <c r="G996">
        <v>0</v>
      </c>
      <c r="H996">
        <v>0</v>
      </c>
      <c r="I996" t="s">
        <v>32</v>
      </c>
      <c r="J996" s="33" t="s">
        <v>149</v>
      </c>
      <c r="M996" t="s">
        <v>67</v>
      </c>
      <c r="N996">
        <v>17</v>
      </c>
    </row>
    <row r="997" spans="1:14" x14ac:dyDescent="0.25">
      <c r="A997" t="s">
        <v>71</v>
      </c>
      <c r="B997">
        <v>8</v>
      </c>
      <c r="C997" t="s">
        <v>30</v>
      </c>
      <c r="D997" t="s">
        <v>72</v>
      </c>
      <c r="E997" s="2">
        <v>13</v>
      </c>
      <c r="F997">
        <v>0</v>
      </c>
      <c r="G997">
        <v>13</v>
      </c>
      <c r="H997">
        <v>12.6</v>
      </c>
      <c r="I997" t="s">
        <v>33</v>
      </c>
      <c r="J997" s="33" t="s">
        <v>149</v>
      </c>
      <c r="M997" t="s">
        <v>67</v>
      </c>
      <c r="N997">
        <v>78</v>
      </c>
    </row>
    <row r="998" spans="1:14" x14ac:dyDescent="0.25">
      <c r="A998" t="s">
        <v>71</v>
      </c>
      <c r="B998">
        <v>8</v>
      </c>
      <c r="C998" t="s">
        <v>34</v>
      </c>
      <c r="D998" t="s">
        <v>73</v>
      </c>
      <c r="E998" s="2">
        <v>13</v>
      </c>
      <c r="F998">
        <v>0</v>
      </c>
      <c r="G998">
        <v>13</v>
      </c>
      <c r="H998">
        <v>11</v>
      </c>
      <c r="I998" t="s">
        <v>33</v>
      </c>
      <c r="J998" s="33" t="s">
        <v>149</v>
      </c>
      <c r="M998" t="s">
        <v>67</v>
      </c>
      <c r="N998">
        <v>10</v>
      </c>
    </row>
    <row r="999" spans="1:14" x14ac:dyDescent="0.25">
      <c r="A999" t="s">
        <v>71</v>
      </c>
      <c r="B999">
        <v>11</v>
      </c>
      <c r="C999" t="s">
        <v>30</v>
      </c>
      <c r="D999" t="s">
        <v>76</v>
      </c>
      <c r="E999" s="2">
        <v>13</v>
      </c>
      <c r="F999">
        <v>0</v>
      </c>
      <c r="G999">
        <v>13</v>
      </c>
      <c r="H999">
        <v>7.8</v>
      </c>
      <c r="I999" t="s">
        <v>33</v>
      </c>
      <c r="J999" s="33" t="s">
        <v>149</v>
      </c>
      <c r="M999" t="s">
        <v>67</v>
      </c>
      <c r="N999">
        <v>81</v>
      </c>
    </row>
    <row r="1000" spans="1:14" x14ac:dyDescent="0.25">
      <c r="A1000" t="s">
        <v>71</v>
      </c>
      <c r="B1000">
        <v>11</v>
      </c>
      <c r="C1000" t="s">
        <v>34</v>
      </c>
      <c r="D1000" t="s">
        <v>77</v>
      </c>
      <c r="E1000" s="2">
        <v>13</v>
      </c>
      <c r="F1000">
        <v>0</v>
      </c>
      <c r="G1000">
        <v>13</v>
      </c>
      <c r="H1000">
        <v>11.4</v>
      </c>
      <c r="I1000" t="s">
        <v>33</v>
      </c>
      <c r="J1000" s="33" t="s">
        <v>149</v>
      </c>
      <c r="M1000" t="s">
        <v>67</v>
      </c>
      <c r="N1000">
        <v>87</v>
      </c>
    </row>
    <row r="1001" spans="1:14" x14ac:dyDescent="0.25">
      <c r="A1001" t="s">
        <v>29</v>
      </c>
      <c r="B1001">
        <v>1</v>
      </c>
      <c r="C1001" t="s">
        <v>30</v>
      </c>
      <c r="D1001" t="s">
        <v>31</v>
      </c>
      <c r="E1001" s="2">
        <v>14</v>
      </c>
      <c r="F1001">
        <v>11</v>
      </c>
      <c r="G1001">
        <v>3</v>
      </c>
      <c r="H1001">
        <v>0</v>
      </c>
      <c r="I1001" t="s">
        <v>32</v>
      </c>
      <c r="J1001" s="33" t="s">
        <v>149</v>
      </c>
      <c r="M1001" t="s">
        <v>67</v>
      </c>
      <c r="N1001">
        <v>78</v>
      </c>
    </row>
    <row r="1002" spans="1:14" x14ac:dyDescent="0.25">
      <c r="A1002" t="s">
        <v>29</v>
      </c>
      <c r="B1002">
        <v>1</v>
      </c>
      <c r="C1002" t="s">
        <v>34</v>
      </c>
      <c r="D1002" t="s">
        <v>35</v>
      </c>
      <c r="E1002" s="2">
        <v>14</v>
      </c>
      <c r="F1002">
        <v>0</v>
      </c>
      <c r="G1002">
        <v>14</v>
      </c>
      <c r="H1002">
        <v>8.9</v>
      </c>
      <c r="I1002" t="s">
        <v>33</v>
      </c>
      <c r="J1002" s="33" t="s">
        <v>149</v>
      </c>
      <c r="M1002" t="s">
        <v>67</v>
      </c>
      <c r="N1002">
        <v>96</v>
      </c>
    </row>
    <row r="1003" spans="1:14" x14ac:dyDescent="0.25">
      <c r="A1003" t="s">
        <v>29</v>
      </c>
      <c r="B1003">
        <v>1</v>
      </c>
      <c r="C1003" t="s">
        <v>34</v>
      </c>
      <c r="D1003" t="s">
        <v>35</v>
      </c>
      <c r="E1003" s="2">
        <v>14</v>
      </c>
      <c r="F1003">
        <v>0</v>
      </c>
      <c r="G1003">
        <v>14</v>
      </c>
      <c r="H1003">
        <v>5.2</v>
      </c>
      <c r="I1003" t="s">
        <v>33</v>
      </c>
      <c r="J1003" s="33" t="s">
        <v>149</v>
      </c>
      <c r="M1003" t="s">
        <v>67</v>
      </c>
      <c r="N1003">
        <v>11</v>
      </c>
    </row>
    <row r="1004" spans="1:14" x14ac:dyDescent="0.25">
      <c r="A1004" t="s">
        <v>29</v>
      </c>
      <c r="B1004">
        <v>2</v>
      </c>
      <c r="C1004" t="s">
        <v>30</v>
      </c>
      <c r="D1004" t="s">
        <v>36</v>
      </c>
      <c r="E1004" s="2">
        <v>14</v>
      </c>
      <c r="F1004">
        <v>0</v>
      </c>
      <c r="G1004">
        <v>14</v>
      </c>
      <c r="H1004">
        <v>5.0999999999999996</v>
      </c>
      <c r="I1004" t="s">
        <v>33</v>
      </c>
      <c r="J1004" s="33" t="s">
        <v>149</v>
      </c>
      <c r="M1004" t="s">
        <v>67</v>
      </c>
      <c r="N1004">
        <v>69</v>
      </c>
    </row>
    <row r="1005" spans="1:14" x14ac:dyDescent="0.25">
      <c r="A1005" t="s">
        <v>29</v>
      </c>
      <c r="B1005">
        <v>2</v>
      </c>
      <c r="C1005" t="s">
        <v>34</v>
      </c>
      <c r="D1005" t="s">
        <v>37</v>
      </c>
      <c r="E1005" s="2">
        <v>14</v>
      </c>
      <c r="F1005">
        <v>0</v>
      </c>
      <c r="G1005">
        <v>14</v>
      </c>
      <c r="H1005">
        <v>12.5</v>
      </c>
      <c r="I1005" t="s">
        <v>33</v>
      </c>
      <c r="J1005" s="33" t="s">
        <v>149</v>
      </c>
      <c r="M1005" t="s">
        <v>67</v>
      </c>
      <c r="N1005">
        <v>74</v>
      </c>
    </row>
    <row r="1006" spans="1:14" x14ac:dyDescent="0.25">
      <c r="A1006" t="s">
        <v>29</v>
      </c>
      <c r="B1006">
        <v>2</v>
      </c>
      <c r="C1006" t="s">
        <v>34</v>
      </c>
      <c r="D1006" t="s">
        <v>37</v>
      </c>
      <c r="E1006" s="2">
        <v>14</v>
      </c>
      <c r="F1006">
        <v>14</v>
      </c>
      <c r="G1006">
        <v>0</v>
      </c>
      <c r="H1006">
        <v>0</v>
      </c>
      <c r="I1006" t="s">
        <v>32</v>
      </c>
      <c r="J1006" s="33" t="s">
        <v>149</v>
      </c>
      <c r="M1006" t="s">
        <v>67</v>
      </c>
      <c r="N1006">
        <v>110</v>
      </c>
    </row>
    <row r="1007" spans="1:14" x14ac:dyDescent="0.25">
      <c r="A1007" t="s">
        <v>29</v>
      </c>
      <c r="B1007">
        <v>3</v>
      </c>
      <c r="C1007" t="s">
        <v>30</v>
      </c>
      <c r="D1007" t="s">
        <v>38</v>
      </c>
      <c r="E1007" s="2">
        <v>14</v>
      </c>
      <c r="F1007">
        <v>0</v>
      </c>
      <c r="G1007">
        <v>14</v>
      </c>
      <c r="H1007">
        <v>11.1</v>
      </c>
      <c r="I1007" t="s">
        <v>33</v>
      </c>
      <c r="J1007" s="33" t="s">
        <v>149</v>
      </c>
      <c r="M1007" t="s">
        <v>67</v>
      </c>
      <c r="N1007">
        <v>93</v>
      </c>
    </row>
    <row r="1008" spans="1:14" x14ac:dyDescent="0.25">
      <c r="A1008" t="s">
        <v>29</v>
      </c>
      <c r="B1008">
        <v>4</v>
      </c>
      <c r="C1008" t="s">
        <v>30</v>
      </c>
      <c r="D1008" t="s">
        <v>40</v>
      </c>
      <c r="E1008" s="2">
        <v>14</v>
      </c>
      <c r="F1008">
        <v>11</v>
      </c>
      <c r="G1008">
        <v>3</v>
      </c>
      <c r="H1008">
        <v>0</v>
      </c>
      <c r="I1008" t="s">
        <v>32</v>
      </c>
      <c r="J1008" s="33" t="s">
        <v>149</v>
      </c>
      <c r="M1008" t="s">
        <v>67</v>
      </c>
      <c r="N1008">
        <v>0</v>
      </c>
    </row>
    <row r="1009" spans="1:14" x14ac:dyDescent="0.25">
      <c r="A1009" t="s">
        <v>29</v>
      </c>
      <c r="B1009">
        <v>4</v>
      </c>
      <c r="C1009" t="s">
        <v>34</v>
      </c>
      <c r="D1009" t="s">
        <v>41</v>
      </c>
      <c r="E1009" s="2">
        <v>14</v>
      </c>
      <c r="F1009">
        <v>0</v>
      </c>
      <c r="G1009">
        <v>14</v>
      </c>
      <c r="H1009">
        <v>7.4</v>
      </c>
      <c r="I1009" t="s">
        <v>33</v>
      </c>
      <c r="J1009" s="33" t="s">
        <v>149</v>
      </c>
      <c r="M1009" t="s">
        <v>67</v>
      </c>
      <c r="N1009">
        <v>184</v>
      </c>
    </row>
    <row r="1010" spans="1:14" x14ac:dyDescent="0.25">
      <c r="A1010" t="s">
        <v>42</v>
      </c>
      <c r="B1010">
        <v>1</v>
      </c>
      <c r="C1010" t="s">
        <v>30</v>
      </c>
      <c r="D1010" t="s">
        <v>43</v>
      </c>
      <c r="E1010" s="2">
        <v>14</v>
      </c>
      <c r="F1010">
        <v>0</v>
      </c>
      <c r="G1010">
        <v>14</v>
      </c>
      <c r="H1010">
        <v>3.7</v>
      </c>
      <c r="I1010" t="s">
        <v>33</v>
      </c>
      <c r="J1010" s="33" t="s">
        <v>149</v>
      </c>
      <c r="M1010" t="s">
        <v>67</v>
      </c>
      <c r="N1010">
        <v>128</v>
      </c>
    </row>
    <row r="1011" spans="1:14" x14ac:dyDescent="0.25">
      <c r="A1011" t="s">
        <v>42</v>
      </c>
      <c r="B1011">
        <v>1</v>
      </c>
      <c r="C1011" t="s">
        <v>34</v>
      </c>
      <c r="D1011" t="s">
        <v>44</v>
      </c>
      <c r="E1011" s="2">
        <v>14</v>
      </c>
      <c r="F1011">
        <v>0</v>
      </c>
      <c r="G1011">
        <v>14</v>
      </c>
      <c r="H1011">
        <v>5.9</v>
      </c>
      <c r="I1011" t="s">
        <v>33</v>
      </c>
      <c r="J1011" s="33" t="s">
        <v>149</v>
      </c>
      <c r="M1011" t="s">
        <v>67</v>
      </c>
      <c r="N1011">
        <v>0</v>
      </c>
    </row>
    <row r="1012" spans="1:14" x14ac:dyDescent="0.25">
      <c r="A1012" t="s">
        <v>42</v>
      </c>
      <c r="B1012">
        <v>5</v>
      </c>
      <c r="C1012" t="s">
        <v>30</v>
      </c>
      <c r="D1012" t="s">
        <v>47</v>
      </c>
      <c r="E1012" s="2">
        <v>14</v>
      </c>
      <c r="F1012">
        <v>0</v>
      </c>
      <c r="G1012">
        <v>14</v>
      </c>
      <c r="H1012">
        <v>7.4</v>
      </c>
      <c r="I1012" t="s">
        <v>33</v>
      </c>
      <c r="J1012" s="33" t="s">
        <v>149</v>
      </c>
      <c r="M1012" t="s">
        <v>67</v>
      </c>
      <c r="N1012">
        <v>0</v>
      </c>
    </row>
    <row r="1013" spans="1:14" x14ac:dyDescent="0.25">
      <c r="A1013" t="s">
        <v>42</v>
      </c>
      <c r="B1013">
        <v>5</v>
      </c>
      <c r="C1013" t="s">
        <v>34</v>
      </c>
      <c r="D1013" t="s">
        <v>48</v>
      </c>
      <c r="E1013" s="2">
        <v>14</v>
      </c>
      <c r="F1013">
        <v>0</v>
      </c>
      <c r="G1013">
        <v>14</v>
      </c>
      <c r="H1013">
        <v>4.8</v>
      </c>
      <c r="I1013" t="s">
        <v>33</v>
      </c>
      <c r="J1013" s="33" t="s">
        <v>149</v>
      </c>
      <c r="M1013" t="s">
        <v>67</v>
      </c>
      <c r="N1013">
        <v>57</v>
      </c>
    </row>
    <row r="1014" spans="1:14" x14ac:dyDescent="0.25">
      <c r="A1014" t="s">
        <v>42</v>
      </c>
      <c r="B1014">
        <v>3</v>
      </c>
      <c r="C1014" t="s">
        <v>34</v>
      </c>
      <c r="D1014" t="s">
        <v>50</v>
      </c>
      <c r="E1014" s="2">
        <v>14</v>
      </c>
      <c r="F1014">
        <v>0</v>
      </c>
      <c r="G1014">
        <v>14</v>
      </c>
      <c r="H1014">
        <v>2.7</v>
      </c>
      <c r="I1014" t="s">
        <v>33</v>
      </c>
      <c r="J1014" s="33" t="s">
        <v>149</v>
      </c>
      <c r="M1014" t="s">
        <v>67</v>
      </c>
      <c r="N1014">
        <v>5</v>
      </c>
    </row>
    <row r="1015" spans="1:14" x14ac:dyDescent="0.25">
      <c r="A1015" t="s">
        <v>42</v>
      </c>
      <c r="B1015">
        <v>4</v>
      </c>
      <c r="C1015" t="s">
        <v>30</v>
      </c>
      <c r="D1015" t="s">
        <v>51</v>
      </c>
      <c r="E1015" s="2">
        <v>14</v>
      </c>
      <c r="F1015">
        <v>0</v>
      </c>
      <c r="G1015">
        <v>14</v>
      </c>
      <c r="H1015">
        <v>9.6999999999999993</v>
      </c>
      <c r="I1015" t="s">
        <v>33</v>
      </c>
      <c r="J1015" s="33" t="s">
        <v>149</v>
      </c>
      <c r="M1015" t="s">
        <v>67</v>
      </c>
      <c r="N1015">
        <v>6</v>
      </c>
    </row>
    <row r="1016" spans="1:14" x14ac:dyDescent="0.25">
      <c r="A1016" t="s">
        <v>54</v>
      </c>
      <c r="B1016">
        <v>1</v>
      </c>
      <c r="C1016" t="s">
        <v>30</v>
      </c>
      <c r="D1016" t="s">
        <v>55</v>
      </c>
      <c r="E1016" s="2">
        <v>14</v>
      </c>
      <c r="F1016">
        <v>0</v>
      </c>
      <c r="G1016">
        <v>14</v>
      </c>
      <c r="H1016">
        <v>12.2</v>
      </c>
      <c r="I1016" t="s">
        <v>33</v>
      </c>
      <c r="J1016" s="33" t="s">
        <v>149</v>
      </c>
      <c r="M1016" t="s">
        <v>67</v>
      </c>
      <c r="N1016">
        <v>63</v>
      </c>
    </row>
    <row r="1017" spans="1:14" x14ac:dyDescent="0.25">
      <c r="A1017" t="s">
        <v>54</v>
      </c>
      <c r="B1017">
        <v>4</v>
      </c>
      <c r="C1017" t="s">
        <v>34</v>
      </c>
      <c r="D1017" t="s">
        <v>62</v>
      </c>
      <c r="E1017" s="2">
        <v>14</v>
      </c>
      <c r="F1017">
        <v>14</v>
      </c>
      <c r="G1017">
        <v>0</v>
      </c>
      <c r="H1017">
        <v>0</v>
      </c>
      <c r="I1017" t="s">
        <v>32</v>
      </c>
      <c r="J1017" s="33" t="s">
        <v>149</v>
      </c>
      <c r="M1017" t="s">
        <v>67</v>
      </c>
      <c r="N1017">
        <v>72</v>
      </c>
    </row>
    <row r="1018" spans="1:14" x14ac:dyDescent="0.25">
      <c r="A1018" t="s">
        <v>68</v>
      </c>
      <c r="B1018">
        <v>6</v>
      </c>
      <c r="C1018" t="s">
        <v>34</v>
      </c>
      <c r="D1018" t="s">
        <v>70</v>
      </c>
      <c r="E1018" s="2">
        <v>14</v>
      </c>
      <c r="F1018">
        <v>0</v>
      </c>
      <c r="G1018">
        <v>14</v>
      </c>
      <c r="H1018">
        <v>11.3</v>
      </c>
      <c r="I1018" t="s">
        <v>33</v>
      </c>
      <c r="J1018" s="33" t="s">
        <v>149</v>
      </c>
      <c r="M1018" t="s">
        <v>67</v>
      </c>
      <c r="N1018">
        <v>22</v>
      </c>
    </row>
    <row r="1019" spans="1:14" x14ac:dyDescent="0.25">
      <c r="A1019" t="s">
        <v>71</v>
      </c>
      <c r="B1019">
        <v>11</v>
      </c>
      <c r="C1019" t="s">
        <v>30</v>
      </c>
      <c r="D1019" t="s">
        <v>76</v>
      </c>
      <c r="E1019" s="2">
        <v>14</v>
      </c>
      <c r="F1019">
        <v>0</v>
      </c>
      <c r="G1019">
        <v>14</v>
      </c>
      <c r="H1019">
        <v>4.0999999999999996</v>
      </c>
      <c r="I1019" t="s">
        <v>33</v>
      </c>
      <c r="J1019" s="33" t="s">
        <v>149</v>
      </c>
      <c r="M1019" t="s">
        <v>67</v>
      </c>
      <c r="N1019">
        <v>0</v>
      </c>
    </row>
    <row r="1020" spans="1:14" x14ac:dyDescent="0.25">
      <c r="A1020" t="s">
        <v>71</v>
      </c>
      <c r="B1020">
        <v>11</v>
      </c>
      <c r="C1020" t="s">
        <v>34</v>
      </c>
      <c r="D1020" t="s">
        <v>77</v>
      </c>
      <c r="E1020" s="2">
        <v>14</v>
      </c>
      <c r="F1020">
        <v>14</v>
      </c>
      <c r="G1020">
        <v>0</v>
      </c>
      <c r="H1020">
        <v>0</v>
      </c>
      <c r="I1020" t="s">
        <v>32</v>
      </c>
      <c r="J1020" s="33" t="s">
        <v>149</v>
      </c>
      <c r="M1020" t="s">
        <v>67</v>
      </c>
      <c r="N1020">
        <v>12</v>
      </c>
    </row>
    <row r="1021" spans="1:14" x14ac:dyDescent="0.25">
      <c r="A1021" t="s">
        <v>71</v>
      </c>
      <c r="B1021">
        <v>11</v>
      </c>
      <c r="C1021" t="s">
        <v>34</v>
      </c>
      <c r="D1021" t="s">
        <v>77</v>
      </c>
      <c r="E1021" s="2">
        <v>14</v>
      </c>
      <c r="F1021">
        <v>14</v>
      </c>
      <c r="G1021">
        <v>0</v>
      </c>
      <c r="H1021">
        <v>0</v>
      </c>
      <c r="I1021" t="s">
        <v>32</v>
      </c>
      <c r="J1021" s="33" t="s">
        <v>149</v>
      </c>
      <c r="M1021" t="s">
        <v>67</v>
      </c>
      <c r="N1021">
        <v>73</v>
      </c>
    </row>
    <row r="1022" spans="1:14" x14ac:dyDescent="0.25">
      <c r="A1022" t="s">
        <v>71</v>
      </c>
      <c r="B1022">
        <v>11</v>
      </c>
      <c r="C1022" t="s">
        <v>34</v>
      </c>
      <c r="D1022" t="s">
        <v>77</v>
      </c>
      <c r="E1022" s="2">
        <v>14</v>
      </c>
      <c r="F1022">
        <v>0</v>
      </c>
      <c r="G1022">
        <v>14</v>
      </c>
      <c r="H1022">
        <v>15.7</v>
      </c>
      <c r="I1022" t="s">
        <v>33</v>
      </c>
      <c r="J1022" s="33" t="s">
        <v>149</v>
      </c>
      <c r="M1022" t="s">
        <v>70</v>
      </c>
      <c r="N1022">
        <v>6</v>
      </c>
    </row>
    <row r="1023" spans="1:14" x14ac:dyDescent="0.25">
      <c r="A1023" t="s">
        <v>29</v>
      </c>
      <c r="B1023">
        <v>1</v>
      </c>
      <c r="C1023" t="s">
        <v>34</v>
      </c>
      <c r="D1023" t="s">
        <v>35</v>
      </c>
      <c r="E1023" s="2">
        <v>15</v>
      </c>
      <c r="F1023">
        <v>0</v>
      </c>
      <c r="G1023">
        <v>15</v>
      </c>
      <c r="H1023">
        <v>3.2</v>
      </c>
      <c r="I1023" t="s">
        <v>33</v>
      </c>
      <c r="J1023" s="33" t="s">
        <v>149</v>
      </c>
      <c r="M1023" t="s">
        <v>70</v>
      </c>
      <c r="N1023">
        <v>37</v>
      </c>
    </row>
    <row r="1024" spans="1:14" x14ac:dyDescent="0.25">
      <c r="A1024" t="s">
        <v>29</v>
      </c>
      <c r="B1024">
        <v>3</v>
      </c>
      <c r="C1024" t="s">
        <v>30</v>
      </c>
      <c r="D1024" t="s">
        <v>38</v>
      </c>
      <c r="E1024" s="2">
        <v>15</v>
      </c>
      <c r="F1024">
        <v>15</v>
      </c>
      <c r="G1024">
        <v>0</v>
      </c>
      <c r="H1024">
        <v>0</v>
      </c>
      <c r="I1024" t="s">
        <v>32</v>
      </c>
      <c r="J1024" s="33" t="s">
        <v>149</v>
      </c>
      <c r="M1024" t="s">
        <v>70</v>
      </c>
      <c r="N1024">
        <v>169</v>
      </c>
    </row>
    <row r="1025" spans="1:14" x14ac:dyDescent="0.25">
      <c r="A1025" t="s">
        <v>42</v>
      </c>
      <c r="B1025">
        <v>1</v>
      </c>
      <c r="C1025" t="s">
        <v>30</v>
      </c>
      <c r="D1025" t="s">
        <v>43</v>
      </c>
      <c r="E1025" s="2">
        <v>15</v>
      </c>
      <c r="F1025">
        <v>0</v>
      </c>
      <c r="G1025">
        <v>15</v>
      </c>
      <c r="H1025">
        <v>7.9</v>
      </c>
      <c r="I1025" t="s">
        <v>33</v>
      </c>
      <c r="J1025" s="33" t="s">
        <v>149</v>
      </c>
      <c r="M1025" t="s">
        <v>70</v>
      </c>
      <c r="N1025">
        <v>81</v>
      </c>
    </row>
    <row r="1026" spans="1:14" x14ac:dyDescent="0.25">
      <c r="A1026" t="s">
        <v>42</v>
      </c>
      <c r="B1026">
        <v>1</v>
      </c>
      <c r="C1026" t="s">
        <v>34</v>
      </c>
      <c r="D1026" t="s">
        <v>44</v>
      </c>
      <c r="E1026" s="2">
        <v>15</v>
      </c>
      <c r="F1026">
        <v>0</v>
      </c>
      <c r="G1026">
        <v>15</v>
      </c>
      <c r="H1026">
        <v>6.1</v>
      </c>
      <c r="I1026" t="s">
        <v>33</v>
      </c>
      <c r="J1026" s="33" t="s">
        <v>149</v>
      </c>
      <c r="M1026" t="s">
        <v>70</v>
      </c>
      <c r="N1026">
        <v>0</v>
      </c>
    </row>
    <row r="1027" spans="1:14" x14ac:dyDescent="0.25">
      <c r="A1027" t="s">
        <v>42</v>
      </c>
      <c r="B1027">
        <v>1</v>
      </c>
      <c r="C1027" t="s">
        <v>34</v>
      </c>
      <c r="D1027" t="s">
        <v>44</v>
      </c>
      <c r="E1027" s="2">
        <v>15</v>
      </c>
      <c r="F1027">
        <v>0</v>
      </c>
      <c r="G1027">
        <v>15</v>
      </c>
      <c r="H1027">
        <v>7</v>
      </c>
      <c r="I1027" t="s">
        <v>33</v>
      </c>
      <c r="J1027" s="33" t="s">
        <v>149</v>
      </c>
      <c r="M1027" t="s">
        <v>70</v>
      </c>
      <c r="N1027">
        <v>0</v>
      </c>
    </row>
    <row r="1028" spans="1:14" x14ac:dyDescent="0.25">
      <c r="A1028" t="s">
        <v>42</v>
      </c>
      <c r="B1028">
        <v>2</v>
      </c>
      <c r="C1028" t="s">
        <v>30</v>
      </c>
      <c r="D1028" t="s">
        <v>45</v>
      </c>
      <c r="E1028" s="2">
        <v>15</v>
      </c>
      <c r="F1028">
        <v>0</v>
      </c>
      <c r="G1028">
        <v>15</v>
      </c>
      <c r="H1028">
        <v>2.6</v>
      </c>
      <c r="I1028" t="s">
        <v>33</v>
      </c>
      <c r="J1028" s="33" t="s">
        <v>149</v>
      </c>
      <c r="M1028" t="s">
        <v>70</v>
      </c>
      <c r="N1028">
        <v>0</v>
      </c>
    </row>
    <row r="1029" spans="1:14" x14ac:dyDescent="0.25">
      <c r="A1029" t="s">
        <v>42</v>
      </c>
      <c r="B1029">
        <v>2</v>
      </c>
      <c r="C1029" t="s">
        <v>34</v>
      </c>
      <c r="D1029" t="s">
        <v>46</v>
      </c>
      <c r="E1029" s="2">
        <v>15</v>
      </c>
      <c r="F1029">
        <v>15</v>
      </c>
      <c r="G1029">
        <v>0</v>
      </c>
      <c r="H1029">
        <v>0</v>
      </c>
      <c r="I1029" t="s">
        <v>32</v>
      </c>
      <c r="J1029" s="33" t="s">
        <v>149</v>
      </c>
      <c r="M1029" t="s">
        <v>70</v>
      </c>
      <c r="N1029">
        <v>31</v>
      </c>
    </row>
    <row r="1030" spans="1:14" x14ac:dyDescent="0.25">
      <c r="A1030" t="s">
        <v>42</v>
      </c>
      <c r="B1030">
        <v>2</v>
      </c>
      <c r="C1030" t="s">
        <v>34</v>
      </c>
      <c r="D1030" t="s">
        <v>46</v>
      </c>
      <c r="E1030" s="2">
        <v>15</v>
      </c>
      <c r="F1030">
        <v>0</v>
      </c>
      <c r="G1030">
        <v>15</v>
      </c>
      <c r="H1030">
        <v>0.6</v>
      </c>
      <c r="I1030" t="s">
        <v>32</v>
      </c>
      <c r="J1030" s="33" t="s">
        <v>149</v>
      </c>
      <c r="M1030" t="s">
        <v>70</v>
      </c>
      <c r="N1030">
        <v>98</v>
      </c>
    </row>
    <row r="1031" spans="1:14" x14ac:dyDescent="0.25">
      <c r="A1031" t="s">
        <v>42</v>
      </c>
      <c r="B1031">
        <v>2</v>
      </c>
      <c r="C1031" t="s">
        <v>34</v>
      </c>
      <c r="D1031" t="s">
        <v>46</v>
      </c>
      <c r="E1031" s="2">
        <v>15</v>
      </c>
      <c r="F1031">
        <v>0</v>
      </c>
      <c r="G1031">
        <v>15</v>
      </c>
      <c r="H1031">
        <v>8.1999999999999993</v>
      </c>
      <c r="I1031" t="s">
        <v>33</v>
      </c>
      <c r="J1031" s="33" t="s">
        <v>149</v>
      </c>
      <c r="M1031" t="s">
        <v>70</v>
      </c>
      <c r="N1031">
        <v>0</v>
      </c>
    </row>
    <row r="1032" spans="1:14" x14ac:dyDescent="0.25">
      <c r="A1032" t="s">
        <v>42</v>
      </c>
      <c r="B1032">
        <v>2</v>
      </c>
      <c r="C1032" t="s">
        <v>34</v>
      </c>
      <c r="D1032" t="s">
        <v>46</v>
      </c>
      <c r="E1032" s="2">
        <v>15</v>
      </c>
      <c r="F1032">
        <v>0</v>
      </c>
      <c r="G1032">
        <v>15</v>
      </c>
      <c r="H1032">
        <v>4.8</v>
      </c>
      <c r="I1032" t="s">
        <v>33</v>
      </c>
      <c r="J1032" s="33" t="s">
        <v>149</v>
      </c>
      <c r="M1032" t="s">
        <v>70</v>
      </c>
      <c r="N1032">
        <v>0</v>
      </c>
    </row>
    <row r="1033" spans="1:14" x14ac:dyDescent="0.25">
      <c r="A1033" t="s">
        <v>42</v>
      </c>
      <c r="B1033">
        <v>5</v>
      </c>
      <c r="C1033" t="s">
        <v>34</v>
      </c>
      <c r="D1033" t="s">
        <v>48</v>
      </c>
      <c r="E1033" s="2">
        <v>15</v>
      </c>
      <c r="F1033">
        <v>0</v>
      </c>
      <c r="G1033">
        <v>15</v>
      </c>
      <c r="H1033">
        <v>4</v>
      </c>
      <c r="I1033" t="s">
        <v>33</v>
      </c>
      <c r="J1033" s="33" t="s">
        <v>149</v>
      </c>
      <c r="M1033" t="s">
        <v>70</v>
      </c>
      <c r="N1033">
        <v>74</v>
      </c>
    </row>
    <row r="1034" spans="1:14" x14ac:dyDescent="0.25">
      <c r="A1034" t="s">
        <v>42</v>
      </c>
      <c r="B1034">
        <v>3</v>
      </c>
      <c r="C1034" t="s">
        <v>30</v>
      </c>
      <c r="D1034" t="s">
        <v>49</v>
      </c>
      <c r="E1034" s="2">
        <v>15</v>
      </c>
      <c r="F1034">
        <v>0</v>
      </c>
      <c r="G1034">
        <v>15</v>
      </c>
      <c r="H1034">
        <v>7.7</v>
      </c>
      <c r="I1034" t="s">
        <v>33</v>
      </c>
      <c r="J1034" s="33" t="s">
        <v>149</v>
      </c>
      <c r="M1034" t="s">
        <v>70</v>
      </c>
      <c r="N1034">
        <v>72</v>
      </c>
    </row>
    <row r="1035" spans="1:14" x14ac:dyDescent="0.25">
      <c r="A1035" t="s">
        <v>54</v>
      </c>
      <c r="B1035">
        <v>1</v>
      </c>
      <c r="C1035" t="s">
        <v>30</v>
      </c>
      <c r="D1035" t="s">
        <v>55</v>
      </c>
      <c r="E1035" s="2">
        <v>15</v>
      </c>
      <c r="F1035">
        <v>0</v>
      </c>
      <c r="G1035">
        <v>15</v>
      </c>
      <c r="H1035">
        <v>4.3</v>
      </c>
      <c r="I1035" t="s">
        <v>33</v>
      </c>
      <c r="J1035" s="33" t="s">
        <v>149</v>
      </c>
      <c r="M1035" t="s">
        <v>70</v>
      </c>
      <c r="N1035">
        <v>58</v>
      </c>
    </row>
    <row r="1036" spans="1:14" x14ac:dyDescent="0.25">
      <c r="A1036" t="s">
        <v>63</v>
      </c>
      <c r="B1036">
        <v>5</v>
      </c>
      <c r="C1036" t="s">
        <v>34</v>
      </c>
      <c r="D1036" t="s">
        <v>65</v>
      </c>
      <c r="E1036" s="2">
        <v>15</v>
      </c>
      <c r="F1036">
        <v>0</v>
      </c>
      <c r="G1036">
        <v>15</v>
      </c>
      <c r="H1036">
        <v>0.8</v>
      </c>
      <c r="I1036" t="s">
        <v>32</v>
      </c>
      <c r="J1036" s="33" t="s">
        <v>149</v>
      </c>
      <c r="M1036" t="s">
        <v>70</v>
      </c>
      <c r="N1036">
        <v>62</v>
      </c>
    </row>
    <row r="1037" spans="1:14" x14ac:dyDescent="0.25">
      <c r="A1037" t="s">
        <v>63</v>
      </c>
      <c r="B1037">
        <v>5</v>
      </c>
      <c r="C1037" t="s">
        <v>34</v>
      </c>
      <c r="D1037" t="s">
        <v>65</v>
      </c>
      <c r="E1037" s="2">
        <v>15</v>
      </c>
      <c r="F1037">
        <v>0</v>
      </c>
      <c r="G1037">
        <v>15</v>
      </c>
      <c r="H1037">
        <v>5.2</v>
      </c>
      <c r="I1037" t="s">
        <v>33</v>
      </c>
      <c r="J1037" s="33" t="s">
        <v>149</v>
      </c>
      <c r="M1037" t="s">
        <v>70</v>
      </c>
      <c r="N1037">
        <v>114</v>
      </c>
    </row>
    <row r="1038" spans="1:14" x14ac:dyDescent="0.25">
      <c r="A1038" t="s">
        <v>71</v>
      </c>
      <c r="B1038">
        <v>11</v>
      </c>
      <c r="C1038" t="s">
        <v>34</v>
      </c>
      <c r="D1038" t="s">
        <v>77</v>
      </c>
      <c r="E1038" s="2">
        <v>15</v>
      </c>
      <c r="F1038">
        <v>0</v>
      </c>
      <c r="G1038">
        <v>15</v>
      </c>
      <c r="H1038">
        <v>10.6</v>
      </c>
      <c r="I1038" t="s">
        <v>33</v>
      </c>
      <c r="J1038" s="33" t="s">
        <v>149</v>
      </c>
      <c r="M1038" t="s">
        <v>70</v>
      </c>
      <c r="N1038">
        <v>14</v>
      </c>
    </row>
    <row r="1039" spans="1:14" x14ac:dyDescent="0.25">
      <c r="A1039" t="s">
        <v>29</v>
      </c>
      <c r="B1039">
        <v>1</v>
      </c>
      <c r="C1039" t="s">
        <v>34</v>
      </c>
      <c r="D1039" t="s">
        <v>35</v>
      </c>
      <c r="E1039" s="2">
        <v>16</v>
      </c>
      <c r="F1039">
        <v>0</v>
      </c>
      <c r="G1039">
        <v>16</v>
      </c>
      <c r="H1039">
        <v>2.7</v>
      </c>
      <c r="I1039" t="s">
        <v>33</v>
      </c>
      <c r="J1039" s="33" t="s">
        <v>149</v>
      </c>
      <c r="M1039" t="s">
        <v>70</v>
      </c>
      <c r="N1039">
        <v>0</v>
      </c>
    </row>
    <row r="1040" spans="1:14" x14ac:dyDescent="0.25">
      <c r="A1040" t="s">
        <v>29</v>
      </c>
      <c r="B1040">
        <v>2</v>
      </c>
      <c r="C1040" t="s">
        <v>30</v>
      </c>
      <c r="D1040" t="s">
        <v>36</v>
      </c>
      <c r="E1040" s="2">
        <v>16</v>
      </c>
      <c r="F1040">
        <v>0</v>
      </c>
      <c r="G1040">
        <v>16</v>
      </c>
      <c r="H1040">
        <v>13.2</v>
      </c>
      <c r="I1040" t="s">
        <v>33</v>
      </c>
      <c r="J1040" s="33" t="s">
        <v>149</v>
      </c>
      <c r="M1040" t="s">
        <v>70</v>
      </c>
      <c r="N1040">
        <v>53</v>
      </c>
    </row>
    <row r="1041" spans="1:14" x14ac:dyDescent="0.25">
      <c r="A1041" t="s">
        <v>29</v>
      </c>
      <c r="B1041">
        <v>2</v>
      </c>
      <c r="C1041" t="s">
        <v>34</v>
      </c>
      <c r="D1041" t="s">
        <v>37</v>
      </c>
      <c r="E1041" s="2">
        <v>16</v>
      </c>
      <c r="F1041">
        <v>0</v>
      </c>
      <c r="G1041">
        <v>16</v>
      </c>
      <c r="H1041">
        <v>5.2</v>
      </c>
      <c r="I1041" t="s">
        <v>33</v>
      </c>
      <c r="J1041" s="33" t="s">
        <v>149</v>
      </c>
      <c r="M1041" t="s">
        <v>70</v>
      </c>
      <c r="N1041">
        <v>0</v>
      </c>
    </row>
    <row r="1042" spans="1:14" x14ac:dyDescent="0.25">
      <c r="A1042" t="s">
        <v>29</v>
      </c>
      <c r="B1042">
        <v>3</v>
      </c>
      <c r="C1042" t="s">
        <v>34</v>
      </c>
      <c r="D1042" t="s">
        <v>39</v>
      </c>
      <c r="E1042" s="2">
        <v>16</v>
      </c>
      <c r="F1042">
        <v>0</v>
      </c>
      <c r="G1042">
        <v>16</v>
      </c>
      <c r="H1042">
        <v>8.4</v>
      </c>
      <c r="I1042" t="s">
        <v>33</v>
      </c>
      <c r="J1042" s="33" t="s">
        <v>149</v>
      </c>
      <c r="M1042" t="s">
        <v>70</v>
      </c>
      <c r="N1042">
        <v>0</v>
      </c>
    </row>
    <row r="1043" spans="1:14" x14ac:dyDescent="0.25">
      <c r="A1043" t="s">
        <v>29</v>
      </c>
      <c r="B1043">
        <v>3</v>
      </c>
      <c r="C1043" t="s">
        <v>34</v>
      </c>
      <c r="D1043" t="s">
        <v>39</v>
      </c>
      <c r="E1043" s="2">
        <v>16</v>
      </c>
      <c r="F1043">
        <v>0</v>
      </c>
      <c r="G1043">
        <v>16</v>
      </c>
      <c r="H1043">
        <v>19.7</v>
      </c>
      <c r="I1043" t="s">
        <v>33</v>
      </c>
      <c r="J1043" s="33" t="s">
        <v>149</v>
      </c>
      <c r="M1043" t="s">
        <v>70</v>
      </c>
      <c r="N1043">
        <v>152</v>
      </c>
    </row>
    <row r="1044" spans="1:14" x14ac:dyDescent="0.25">
      <c r="A1044" t="s">
        <v>29</v>
      </c>
      <c r="B1044">
        <v>4</v>
      </c>
      <c r="C1044" t="s">
        <v>30</v>
      </c>
      <c r="D1044" t="s">
        <v>40</v>
      </c>
      <c r="E1044" s="2">
        <v>16</v>
      </c>
      <c r="F1044">
        <v>3</v>
      </c>
      <c r="G1044">
        <v>13</v>
      </c>
      <c r="H1044">
        <v>5.4</v>
      </c>
      <c r="I1044" t="s">
        <v>33</v>
      </c>
      <c r="J1044" s="33" t="s">
        <v>149</v>
      </c>
      <c r="M1044" t="s">
        <v>70</v>
      </c>
      <c r="N1044">
        <v>0</v>
      </c>
    </row>
    <row r="1045" spans="1:14" x14ac:dyDescent="0.25">
      <c r="A1045" t="s">
        <v>42</v>
      </c>
      <c r="B1045">
        <v>1</v>
      </c>
      <c r="C1045" t="s">
        <v>30</v>
      </c>
      <c r="D1045" t="s">
        <v>43</v>
      </c>
      <c r="E1045" s="2">
        <v>16</v>
      </c>
      <c r="F1045">
        <v>0</v>
      </c>
      <c r="G1045">
        <v>16</v>
      </c>
      <c r="H1045">
        <v>9.4</v>
      </c>
      <c r="I1045" t="s">
        <v>33</v>
      </c>
      <c r="J1045" s="33" t="s">
        <v>149</v>
      </c>
      <c r="M1045" t="s">
        <v>70</v>
      </c>
      <c r="N1045">
        <v>0</v>
      </c>
    </row>
    <row r="1046" spans="1:14" x14ac:dyDescent="0.25">
      <c r="A1046" t="s">
        <v>42</v>
      </c>
      <c r="B1046">
        <v>1</v>
      </c>
      <c r="C1046" t="s">
        <v>30</v>
      </c>
      <c r="D1046" t="s">
        <v>43</v>
      </c>
      <c r="E1046" s="2">
        <v>16</v>
      </c>
      <c r="F1046">
        <v>0</v>
      </c>
      <c r="G1046">
        <v>16</v>
      </c>
      <c r="H1046">
        <v>5.8</v>
      </c>
      <c r="I1046" t="s">
        <v>33</v>
      </c>
      <c r="J1046" s="33" t="s">
        <v>149</v>
      </c>
      <c r="M1046" t="s">
        <v>70</v>
      </c>
      <c r="N1046">
        <v>165</v>
      </c>
    </row>
    <row r="1047" spans="1:14" x14ac:dyDescent="0.25">
      <c r="A1047" t="s">
        <v>42</v>
      </c>
      <c r="B1047">
        <v>1</v>
      </c>
      <c r="C1047" t="s">
        <v>34</v>
      </c>
      <c r="D1047" t="s">
        <v>44</v>
      </c>
      <c r="E1047" s="2">
        <v>16</v>
      </c>
      <c r="F1047">
        <v>0</v>
      </c>
      <c r="G1047">
        <v>16</v>
      </c>
      <c r="H1047">
        <v>7</v>
      </c>
      <c r="I1047" t="s">
        <v>33</v>
      </c>
      <c r="J1047" s="33" t="s">
        <v>149</v>
      </c>
      <c r="M1047" t="s">
        <v>70</v>
      </c>
      <c r="N1047">
        <v>5</v>
      </c>
    </row>
    <row r="1048" spans="1:14" x14ac:dyDescent="0.25">
      <c r="A1048" t="s">
        <v>42</v>
      </c>
      <c r="B1048">
        <v>2</v>
      </c>
      <c r="C1048" t="s">
        <v>34</v>
      </c>
      <c r="D1048" t="s">
        <v>46</v>
      </c>
      <c r="E1048" s="2">
        <v>16</v>
      </c>
      <c r="F1048">
        <v>0</v>
      </c>
      <c r="G1048">
        <v>16</v>
      </c>
      <c r="H1048">
        <v>2.6</v>
      </c>
      <c r="I1048" t="s">
        <v>33</v>
      </c>
      <c r="J1048" s="33" t="s">
        <v>149</v>
      </c>
      <c r="M1048" t="s">
        <v>70</v>
      </c>
      <c r="N1048">
        <v>0</v>
      </c>
    </row>
    <row r="1049" spans="1:14" x14ac:dyDescent="0.25">
      <c r="A1049" t="s">
        <v>42</v>
      </c>
      <c r="B1049">
        <v>2</v>
      </c>
      <c r="C1049" t="s">
        <v>34</v>
      </c>
      <c r="D1049" t="s">
        <v>46</v>
      </c>
      <c r="E1049" s="2">
        <v>16</v>
      </c>
      <c r="F1049">
        <v>0</v>
      </c>
      <c r="G1049">
        <v>16</v>
      </c>
      <c r="H1049">
        <v>6.9</v>
      </c>
      <c r="I1049" t="s">
        <v>33</v>
      </c>
      <c r="J1049" s="33" t="s">
        <v>149</v>
      </c>
      <c r="M1049" t="s">
        <v>70</v>
      </c>
      <c r="N1049">
        <v>3</v>
      </c>
    </row>
    <row r="1050" spans="1:14" x14ac:dyDescent="0.25">
      <c r="A1050" t="s">
        <v>42</v>
      </c>
      <c r="B1050">
        <v>2</v>
      </c>
      <c r="C1050" t="s">
        <v>34</v>
      </c>
      <c r="D1050" t="s">
        <v>46</v>
      </c>
      <c r="E1050" s="2">
        <v>16</v>
      </c>
      <c r="F1050">
        <v>0</v>
      </c>
      <c r="G1050">
        <v>16</v>
      </c>
      <c r="H1050">
        <v>7.8</v>
      </c>
      <c r="I1050" t="s">
        <v>33</v>
      </c>
      <c r="J1050" s="33" t="s">
        <v>149</v>
      </c>
      <c r="M1050" t="s">
        <v>70</v>
      </c>
      <c r="N1050">
        <v>39</v>
      </c>
    </row>
    <row r="1051" spans="1:14" x14ac:dyDescent="0.25">
      <c r="A1051" t="s">
        <v>52</v>
      </c>
      <c r="B1051">
        <v>4</v>
      </c>
      <c r="C1051" t="s">
        <v>34</v>
      </c>
      <c r="D1051" t="s">
        <v>53</v>
      </c>
      <c r="E1051" s="2">
        <v>16</v>
      </c>
      <c r="F1051">
        <v>0</v>
      </c>
      <c r="G1051">
        <v>16</v>
      </c>
      <c r="H1051">
        <v>15.6</v>
      </c>
      <c r="I1051" t="s">
        <v>33</v>
      </c>
      <c r="J1051" s="33" t="s">
        <v>149</v>
      </c>
      <c r="M1051" t="s">
        <v>70</v>
      </c>
      <c r="N1051">
        <v>40</v>
      </c>
    </row>
    <row r="1052" spans="1:14" x14ac:dyDescent="0.25">
      <c r="A1052" t="s">
        <v>63</v>
      </c>
      <c r="B1052">
        <v>5</v>
      </c>
      <c r="C1052" t="s">
        <v>34</v>
      </c>
      <c r="D1052" t="s">
        <v>65</v>
      </c>
      <c r="E1052" s="2">
        <v>16</v>
      </c>
      <c r="F1052">
        <v>0</v>
      </c>
      <c r="G1052">
        <v>16</v>
      </c>
      <c r="H1052">
        <v>0.3</v>
      </c>
      <c r="I1052" t="s">
        <v>32</v>
      </c>
      <c r="J1052" s="33" t="s">
        <v>149</v>
      </c>
      <c r="M1052" t="s">
        <v>70</v>
      </c>
      <c r="N1052">
        <v>9</v>
      </c>
    </row>
    <row r="1053" spans="1:14" x14ac:dyDescent="0.25">
      <c r="A1053" t="s">
        <v>63</v>
      </c>
      <c r="B1053">
        <v>5</v>
      </c>
      <c r="C1053" t="s">
        <v>34</v>
      </c>
      <c r="D1053" t="s">
        <v>65</v>
      </c>
      <c r="E1053" s="2">
        <v>16</v>
      </c>
      <c r="F1053">
        <v>0</v>
      </c>
      <c r="G1053">
        <v>16</v>
      </c>
      <c r="H1053">
        <v>11.5</v>
      </c>
      <c r="I1053" t="s">
        <v>33</v>
      </c>
      <c r="J1053" s="33" t="s">
        <v>149</v>
      </c>
      <c r="M1053" t="s">
        <v>70</v>
      </c>
      <c r="N1053">
        <v>0</v>
      </c>
    </row>
    <row r="1054" spans="1:14" x14ac:dyDescent="0.25">
      <c r="A1054" t="s">
        <v>63</v>
      </c>
      <c r="B1054">
        <v>5</v>
      </c>
      <c r="C1054" t="s">
        <v>34</v>
      </c>
      <c r="D1054" t="s">
        <v>65</v>
      </c>
      <c r="E1054" s="2">
        <v>16</v>
      </c>
      <c r="F1054">
        <v>0</v>
      </c>
      <c r="G1054">
        <v>16</v>
      </c>
      <c r="H1054">
        <v>2.1</v>
      </c>
      <c r="I1054" t="s">
        <v>33</v>
      </c>
      <c r="J1054" s="33" t="s">
        <v>149</v>
      </c>
      <c r="M1054" t="s">
        <v>70</v>
      </c>
      <c r="N1054">
        <v>85</v>
      </c>
    </row>
    <row r="1055" spans="1:14" x14ac:dyDescent="0.25">
      <c r="A1055" t="s">
        <v>63</v>
      </c>
      <c r="B1055">
        <v>1</v>
      </c>
      <c r="C1055" t="s">
        <v>30</v>
      </c>
      <c r="D1055" t="s">
        <v>66</v>
      </c>
      <c r="E1055" s="2">
        <v>16</v>
      </c>
      <c r="F1055">
        <v>14</v>
      </c>
      <c r="G1055">
        <v>2</v>
      </c>
      <c r="H1055">
        <v>0</v>
      </c>
      <c r="I1055" t="s">
        <v>32</v>
      </c>
      <c r="J1055" s="33" t="s">
        <v>149</v>
      </c>
      <c r="M1055" t="s">
        <v>70</v>
      </c>
      <c r="N1055">
        <v>163</v>
      </c>
    </row>
    <row r="1056" spans="1:14" x14ac:dyDescent="0.25">
      <c r="A1056" t="s">
        <v>63</v>
      </c>
      <c r="B1056">
        <v>1</v>
      </c>
      <c r="C1056" t="s">
        <v>34</v>
      </c>
      <c r="D1056" t="s">
        <v>67</v>
      </c>
      <c r="E1056" s="2">
        <v>16</v>
      </c>
      <c r="F1056">
        <v>12</v>
      </c>
      <c r="G1056">
        <v>4</v>
      </c>
      <c r="H1056">
        <v>0</v>
      </c>
      <c r="I1056" t="s">
        <v>32</v>
      </c>
      <c r="J1056" s="33" t="s">
        <v>149</v>
      </c>
      <c r="M1056" t="s">
        <v>70</v>
      </c>
      <c r="N1056">
        <v>166</v>
      </c>
    </row>
    <row r="1057" spans="1:14" x14ac:dyDescent="0.25">
      <c r="A1057" t="s">
        <v>71</v>
      </c>
      <c r="B1057">
        <v>11</v>
      </c>
      <c r="C1057" t="s">
        <v>34</v>
      </c>
      <c r="D1057" t="s">
        <v>77</v>
      </c>
      <c r="E1057" s="2">
        <v>16</v>
      </c>
      <c r="F1057">
        <v>0</v>
      </c>
      <c r="G1057">
        <v>16</v>
      </c>
      <c r="H1057">
        <v>16.100000000000001</v>
      </c>
      <c r="I1057" t="s">
        <v>33</v>
      </c>
      <c r="J1057" s="33" t="s">
        <v>149</v>
      </c>
      <c r="M1057" t="s">
        <v>70</v>
      </c>
      <c r="N1057">
        <v>38</v>
      </c>
    </row>
    <row r="1058" spans="1:14" x14ac:dyDescent="0.25">
      <c r="A1058" t="s">
        <v>29</v>
      </c>
      <c r="B1058">
        <v>1</v>
      </c>
      <c r="C1058" t="s">
        <v>30</v>
      </c>
      <c r="D1058" t="s">
        <v>31</v>
      </c>
      <c r="E1058" s="2">
        <v>17</v>
      </c>
      <c r="F1058">
        <v>0</v>
      </c>
      <c r="G1058">
        <v>17</v>
      </c>
      <c r="H1058">
        <v>15.8</v>
      </c>
      <c r="I1058" t="s">
        <v>33</v>
      </c>
      <c r="J1058" s="33" t="s">
        <v>149</v>
      </c>
      <c r="M1058" t="s">
        <v>70</v>
      </c>
      <c r="N1058">
        <v>120</v>
      </c>
    </row>
    <row r="1059" spans="1:14" x14ac:dyDescent="0.25">
      <c r="A1059" t="s">
        <v>29</v>
      </c>
      <c r="B1059">
        <v>1</v>
      </c>
      <c r="C1059" t="s">
        <v>34</v>
      </c>
      <c r="D1059" t="s">
        <v>35</v>
      </c>
      <c r="E1059" s="2">
        <v>17</v>
      </c>
      <c r="F1059">
        <v>17</v>
      </c>
      <c r="G1059">
        <v>0</v>
      </c>
      <c r="H1059">
        <v>0</v>
      </c>
      <c r="I1059" t="s">
        <v>32</v>
      </c>
      <c r="J1059" s="33" t="s">
        <v>149</v>
      </c>
      <c r="M1059" t="s">
        <v>70</v>
      </c>
      <c r="N1059">
        <v>55</v>
      </c>
    </row>
    <row r="1060" spans="1:14" x14ac:dyDescent="0.25">
      <c r="A1060" t="s">
        <v>29</v>
      </c>
      <c r="B1060">
        <v>1</v>
      </c>
      <c r="C1060" t="s">
        <v>34</v>
      </c>
      <c r="D1060" t="s">
        <v>35</v>
      </c>
      <c r="E1060" s="2">
        <v>17</v>
      </c>
      <c r="F1060">
        <v>3</v>
      </c>
      <c r="G1060">
        <v>14</v>
      </c>
      <c r="H1060">
        <v>0.3</v>
      </c>
      <c r="I1060" t="s">
        <v>32</v>
      </c>
      <c r="J1060" s="33" t="s">
        <v>149</v>
      </c>
      <c r="M1060" t="s">
        <v>70</v>
      </c>
      <c r="N1060">
        <v>0</v>
      </c>
    </row>
    <row r="1061" spans="1:14" x14ac:dyDescent="0.25">
      <c r="A1061" t="s">
        <v>29</v>
      </c>
      <c r="B1061">
        <v>2</v>
      </c>
      <c r="C1061" t="s">
        <v>34</v>
      </c>
      <c r="D1061" t="s">
        <v>37</v>
      </c>
      <c r="E1061" s="2">
        <v>17</v>
      </c>
      <c r="F1061">
        <v>0</v>
      </c>
      <c r="G1061">
        <v>17</v>
      </c>
      <c r="H1061">
        <v>9.6999999999999993</v>
      </c>
      <c r="I1061" t="s">
        <v>33</v>
      </c>
      <c r="J1061" s="33" t="s">
        <v>149</v>
      </c>
      <c r="M1061" t="s">
        <v>70</v>
      </c>
      <c r="N1061">
        <v>0</v>
      </c>
    </row>
    <row r="1062" spans="1:14" x14ac:dyDescent="0.25">
      <c r="A1062" t="s">
        <v>29</v>
      </c>
      <c r="B1062">
        <v>2</v>
      </c>
      <c r="C1062" t="s">
        <v>34</v>
      </c>
      <c r="D1062" t="s">
        <v>37</v>
      </c>
      <c r="E1062" s="2">
        <v>17</v>
      </c>
      <c r="F1062">
        <v>10</v>
      </c>
      <c r="G1062">
        <v>7</v>
      </c>
      <c r="H1062">
        <v>0</v>
      </c>
      <c r="I1062" t="s">
        <v>32</v>
      </c>
      <c r="J1062" s="33" t="s">
        <v>149</v>
      </c>
      <c r="M1062" t="s">
        <v>70</v>
      </c>
      <c r="N1062">
        <v>36</v>
      </c>
    </row>
    <row r="1063" spans="1:14" x14ac:dyDescent="0.25">
      <c r="A1063" t="s">
        <v>29</v>
      </c>
      <c r="B1063">
        <v>3</v>
      </c>
      <c r="C1063" t="s">
        <v>30</v>
      </c>
      <c r="D1063" t="s">
        <v>38</v>
      </c>
      <c r="E1063" s="2">
        <v>17</v>
      </c>
      <c r="F1063">
        <v>15</v>
      </c>
      <c r="G1063">
        <v>2</v>
      </c>
      <c r="H1063">
        <v>0</v>
      </c>
      <c r="I1063" t="s">
        <v>32</v>
      </c>
      <c r="J1063" s="33" t="s">
        <v>149</v>
      </c>
      <c r="M1063" t="s">
        <v>70</v>
      </c>
      <c r="N1063">
        <v>8</v>
      </c>
    </row>
    <row r="1064" spans="1:14" x14ac:dyDescent="0.25">
      <c r="A1064" t="s">
        <v>29</v>
      </c>
      <c r="B1064">
        <v>3</v>
      </c>
      <c r="C1064" t="s">
        <v>30</v>
      </c>
      <c r="D1064" t="s">
        <v>38</v>
      </c>
      <c r="E1064" s="2">
        <v>17</v>
      </c>
      <c r="F1064">
        <v>12</v>
      </c>
      <c r="G1064">
        <v>5</v>
      </c>
      <c r="H1064">
        <v>0</v>
      </c>
      <c r="I1064" t="s">
        <v>32</v>
      </c>
      <c r="J1064" s="33" t="s">
        <v>149</v>
      </c>
      <c r="M1064" t="s">
        <v>70</v>
      </c>
      <c r="N1064">
        <v>0</v>
      </c>
    </row>
    <row r="1065" spans="1:14" x14ac:dyDescent="0.25">
      <c r="A1065" t="s">
        <v>29</v>
      </c>
      <c r="B1065">
        <v>3</v>
      </c>
      <c r="C1065" t="s">
        <v>34</v>
      </c>
      <c r="D1065" t="s">
        <v>39</v>
      </c>
      <c r="E1065" s="2">
        <v>17</v>
      </c>
      <c r="F1065">
        <v>14</v>
      </c>
      <c r="G1065">
        <v>3</v>
      </c>
      <c r="H1065">
        <v>0</v>
      </c>
      <c r="I1065" t="s">
        <v>32</v>
      </c>
      <c r="J1065" s="33" t="s">
        <v>149</v>
      </c>
      <c r="M1065" t="s">
        <v>70</v>
      </c>
      <c r="N1065">
        <v>27</v>
      </c>
    </row>
    <row r="1066" spans="1:14" x14ac:dyDescent="0.25">
      <c r="A1066" t="s">
        <v>29</v>
      </c>
      <c r="B1066">
        <v>3</v>
      </c>
      <c r="C1066" t="s">
        <v>34</v>
      </c>
      <c r="D1066" t="s">
        <v>39</v>
      </c>
      <c r="E1066" s="2">
        <v>17</v>
      </c>
      <c r="F1066">
        <v>0</v>
      </c>
      <c r="G1066">
        <v>17</v>
      </c>
      <c r="H1066">
        <v>7.9</v>
      </c>
      <c r="I1066" t="s">
        <v>33</v>
      </c>
      <c r="J1066" s="33" t="s">
        <v>149</v>
      </c>
      <c r="M1066" t="s">
        <v>70</v>
      </c>
      <c r="N1066">
        <v>10</v>
      </c>
    </row>
    <row r="1067" spans="1:14" x14ac:dyDescent="0.25">
      <c r="A1067" t="s">
        <v>29</v>
      </c>
      <c r="B1067">
        <v>3</v>
      </c>
      <c r="C1067" t="s">
        <v>34</v>
      </c>
      <c r="D1067" t="s">
        <v>39</v>
      </c>
      <c r="E1067" s="2">
        <v>17</v>
      </c>
      <c r="F1067">
        <v>11</v>
      </c>
      <c r="G1067">
        <v>6</v>
      </c>
      <c r="H1067">
        <v>0</v>
      </c>
      <c r="I1067" t="s">
        <v>32</v>
      </c>
      <c r="J1067" s="33" t="s">
        <v>149</v>
      </c>
      <c r="M1067" t="s">
        <v>70</v>
      </c>
      <c r="N1067">
        <v>0</v>
      </c>
    </row>
    <row r="1068" spans="1:14" x14ac:dyDescent="0.25">
      <c r="A1068" t="s">
        <v>42</v>
      </c>
      <c r="B1068">
        <v>2</v>
      </c>
      <c r="C1068" t="s">
        <v>34</v>
      </c>
      <c r="D1068" t="s">
        <v>46</v>
      </c>
      <c r="E1068" s="2">
        <v>17</v>
      </c>
      <c r="F1068">
        <v>0</v>
      </c>
      <c r="G1068">
        <v>17</v>
      </c>
      <c r="H1068">
        <v>7.1</v>
      </c>
      <c r="I1068" t="s">
        <v>33</v>
      </c>
      <c r="J1068" s="33" t="s">
        <v>149</v>
      </c>
      <c r="M1068" t="s">
        <v>70</v>
      </c>
      <c r="N1068">
        <v>52</v>
      </c>
    </row>
    <row r="1069" spans="1:14" x14ac:dyDescent="0.25">
      <c r="A1069" t="s">
        <v>42</v>
      </c>
      <c r="B1069">
        <v>5</v>
      </c>
      <c r="C1069" t="s">
        <v>30</v>
      </c>
      <c r="D1069" t="s">
        <v>47</v>
      </c>
      <c r="E1069" s="2">
        <v>17</v>
      </c>
      <c r="F1069">
        <v>0</v>
      </c>
      <c r="G1069">
        <v>17</v>
      </c>
      <c r="H1069">
        <v>12</v>
      </c>
      <c r="I1069" t="s">
        <v>33</v>
      </c>
      <c r="J1069" s="33" t="s">
        <v>149</v>
      </c>
      <c r="M1069" t="s">
        <v>70</v>
      </c>
      <c r="N1069">
        <v>7</v>
      </c>
    </row>
    <row r="1070" spans="1:14" x14ac:dyDescent="0.25">
      <c r="A1070" t="s">
        <v>42</v>
      </c>
      <c r="B1070">
        <v>4</v>
      </c>
      <c r="C1070" t="s">
        <v>30</v>
      </c>
      <c r="D1070" t="s">
        <v>51</v>
      </c>
      <c r="E1070" s="2">
        <v>17</v>
      </c>
      <c r="F1070">
        <v>0</v>
      </c>
      <c r="G1070">
        <v>17</v>
      </c>
      <c r="H1070">
        <v>2.4</v>
      </c>
      <c r="I1070" t="s">
        <v>33</v>
      </c>
      <c r="J1070" s="33" t="s">
        <v>149</v>
      </c>
      <c r="M1070" t="s">
        <v>70</v>
      </c>
      <c r="N1070">
        <v>26</v>
      </c>
    </row>
    <row r="1071" spans="1:14" x14ac:dyDescent="0.25">
      <c r="A1071" t="s">
        <v>54</v>
      </c>
      <c r="B1071">
        <v>1</v>
      </c>
      <c r="C1071" t="s">
        <v>30</v>
      </c>
      <c r="D1071" t="s">
        <v>55</v>
      </c>
      <c r="E1071" s="2">
        <v>17</v>
      </c>
      <c r="F1071">
        <v>0</v>
      </c>
      <c r="G1071">
        <v>17</v>
      </c>
      <c r="H1071">
        <v>12.3</v>
      </c>
      <c r="I1071" t="s">
        <v>33</v>
      </c>
      <c r="J1071" s="33" t="s">
        <v>149</v>
      </c>
      <c r="M1071" t="s">
        <v>70</v>
      </c>
      <c r="N1071">
        <v>87</v>
      </c>
    </row>
    <row r="1072" spans="1:14" x14ac:dyDescent="0.25">
      <c r="A1072" t="s">
        <v>54</v>
      </c>
      <c r="B1072">
        <v>4</v>
      </c>
      <c r="C1072" t="s">
        <v>30</v>
      </c>
      <c r="D1072" t="s">
        <v>61</v>
      </c>
      <c r="E1072" s="2">
        <v>17</v>
      </c>
      <c r="F1072">
        <v>0</v>
      </c>
      <c r="G1072">
        <v>17</v>
      </c>
      <c r="H1072">
        <v>6</v>
      </c>
      <c r="I1072" t="s">
        <v>33</v>
      </c>
      <c r="J1072" s="33" t="s">
        <v>149</v>
      </c>
      <c r="M1072" t="s">
        <v>70</v>
      </c>
      <c r="N1072">
        <v>25</v>
      </c>
    </row>
    <row r="1073" spans="1:14" x14ac:dyDescent="0.25">
      <c r="A1073" t="s">
        <v>54</v>
      </c>
      <c r="B1073">
        <v>4</v>
      </c>
      <c r="C1073" t="s">
        <v>34</v>
      </c>
      <c r="D1073" t="s">
        <v>62</v>
      </c>
      <c r="E1073" s="2">
        <v>17</v>
      </c>
      <c r="F1073">
        <v>15</v>
      </c>
      <c r="G1073">
        <v>2</v>
      </c>
      <c r="H1073">
        <v>0</v>
      </c>
      <c r="I1073" t="s">
        <v>32</v>
      </c>
      <c r="J1073" s="33" t="s">
        <v>149</v>
      </c>
      <c r="M1073" t="s">
        <v>70</v>
      </c>
      <c r="N1073">
        <v>60</v>
      </c>
    </row>
    <row r="1074" spans="1:14" x14ac:dyDescent="0.25">
      <c r="A1074" t="s">
        <v>63</v>
      </c>
      <c r="B1074">
        <v>5</v>
      </c>
      <c r="C1074" t="s">
        <v>34</v>
      </c>
      <c r="D1074" t="s">
        <v>65</v>
      </c>
      <c r="E1074" s="2">
        <v>17</v>
      </c>
      <c r="F1074">
        <v>0</v>
      </c>
      <c r="G1074">
        <v>17</v>
      </c>
      <c r="H1074">
        <v>8.3000000000000007</v>
      </c>
      <c r="I1074" t="s">
        <v>33</v>
      </c>
      <c r="J1074" s="33" t="s">
        <v>149</v>
      </c>
      <c r="M1074" t="s">
        <v>70</v>
      </c>
      <c r="N1074">
        <v>53</v>
      </c>
    </row>
    <row r="1075" spans="1:14" x14ac:dyDescent="0.25">
      <c r="A1075" t="s">
        <v>63</v>
      </c>
      <c r="B1075">
        <v>5</v>
      </c>
      <c r="C1075" t="s">
        <v>34</v>
      </c>
      <c r="D1075" t="s">
        <v>65</v>
      </c>
      <c r="E1075" s="2">
        <v>17</v>
      </c>
      <c r="F1075">
        <v>0</v>
      </c>
      <c r="G1075">
        <v>17</v>
      </c>
      <c r="H1075">
        <v>7.3</v>
      </c>
      <c r="I1075" t="s">
        <v>33</v>
      </c>
      <c r="J1075" s="33" t="s">
        <v>149</v>
      </c>
      <c r="M1075" t="s">
        <v>70</v>
      </c>
      <c r="N1075">
        <v>28</v>
      </c>
    </row>
    <row r="1076" spans="1:14" x14ac:dyDescent="0.25">
      <c r="A1076" t="s">
        <v>63</v>
      </c>
      <c r="B1076">
        <v>5</v>
      </c>
      <c r="C1076" t="s">
        <v>34</v>
      </c>
      <c r="D1076" t="s">
        <v>65</v>
      </c>
      <c r="E1076" s="2">
        <v>17</v>
      </c>
      <c r="F1076">
        <v>0</v>
      </c>
      <c r="G1076">
        <v>17</v>
      </c>
      <c r="H1076">
        <v>6</v>
      </c>
      <c r="I1076" t="s">
        <v>33</v>
      </c>
      <c r="J1076" s="33" t="s">
        <v>149</v>
      </c>
      <c r="M1076" t="s">
        <v>70</v>
      </c>
      <c r="N1076">
        <v>0</v>
      </c>
    </row>
    <row r="1077" spans="1:14" x14ac:dyDescent="0.25">
      <c r="A1077" t="s">
        <v>63</v>
      </c>
      <c r="B1077">
        <v>1</v>
      </c>
      <c r="C1077" t="s">
        <v>34</v>
      </c>
      <c r="D1077" t="s">
        <v>67</v>
      </c>
      <c r="E1077" s="2">
        <v>17</v>
      </c>
      <c r="F1077">
        <v>0</v>
      </c>
      <c r="G1077">
        <v>17</v>
      </c>
      <c r="H1077">
        <v>8</v>
      </c>
      <c r="I1077" t="s">
        <v>33</v>
      </c>
      <c r="J1077" s="33" t="s">
        <v>149</v>
      </c>
      <c r="M1077" t="s">
        <v>70</v>
      </c>
      <c r="N1077">
        <v>0</v>
      </c>
    </row>
    <row r="1078" spans="1:14" x14ac:dyDescent="0.25">
      <c r="A1078" t="s">
        <v>71</v>
      </c>
      <c r="B1078">
        <v>8</v>
      </c>
      <c r="C1078" t="s">
        <v>34</v>
      </c>
      <c r="D1078" t="s">
        <v>73</v>
      </c>
      <c r="E1078" s="2">
        <v>17</v>
      </c>
      <c r="F1078">
        <v>0</v>
      </c>
      <c r="G1078">
        <v>17</v>
      </c>
      <c r="H1078">
        <v>10.5</v>
      </c>
      <c r="I1078" t="s">
        <v>33</v>
      </c>
      <c r="J1078" s="33" t="s">
        <v>149</v>
      </c>
      <c r="M1078" t="s">
        <v>70</v>
      </c>
      <c r="N1078">
        <v>58</v>
      </c>
    </row>
    <row r="1079" spans="1:14" x14ac:dyDescent="0.25">
      <c r="A1079" t="s">
        <v>71</v>
      </c>
      <c r="B1079">
        <v>10</v>
      </c>
      <c r="C1079" t="s">
        <v>34</v>
      </c>
      <c r="D1079" t="s">
        <v>75</v>
      </c>
      <c r="E1079" s="2">
        <v>17</v>
      </c>
      <c r="F1079">
        <v>0</v>
      </c>
      <c r="G1079">
        <v>17</v>
      </c>
      <c r="H1079">
        <v>8.4</v>
      </c>
      <c r="I1079" t="s">
        <v>33</v>
      </c>
      <c r="J1079" s="33" t="s">
        <v>149</v>
      </c>
      <c r="M1079" t="s">
        <v>70</v>
      </c>
      <c r="N1079">
        <v>11</v>
      </c>
    </row>
    <row r="1080" spans="1:14" x14ac:dyDescent="0.25">
      <c r="A1080" t="s">
        <v>29</v>
      </c>
      <c r="B1080">
        <v>1</v>
      </c>
      <c r="C1080" t="s">
        <v>34</v>
      </c>
      <c r="D1080" t="s">
        <v>35</v>
      </c>
      <c r="E1080" s="2">
        <v>18</v>
      </c>
      <c r="F1080">
        <v>0</v>
      </c>
      <c r="G1080">
        <v>18</v>
      </c>
      <c r="H1080">
        <v>7.3</v>
      </c>
      <c r="I1080" t="s">
        <v>33</v>
      </c>
      <c r="J1080" s="33" t="s">
        <v>149</v>
      </c>
      <c r="M1080" t="s">
        <v>70</v>
      </c>
      <c r="N1080">
        <v>62</v>
      </c>
    </row>
    <row r="1081" spans="1:14" x14ac:dyDescent="0.25">
      <c r="A1081" t="s">
        <v>29</v>
      </c>
      <c r="B1081">
        <v>1</v>
      </c>
      <c r="C1081" t="s">
        <v>34</v>
      </c>
      <c r="D1081" t="s">
        <v>35</v>
      </c>
      <c r="E1081" s="2">
        <v>18</v>
      </c>
      <c r="F1081">
        <v>0</v>
      </c>
      <c r="G1081">
        <v>18</v>
      </c>
      <c r="H1081">
        <v>7.6</v>
      </c>
      <c r="I1081" t="s">
        <v>33</v>
      </c>
      <c r="J1081" s="33" t="s">
        <v>149</v>
      </c>
      <c r="M1081" t="s">
        <v>70</v>
      </c>
      <c r="N1081">
        <v>87</v>
      </c>
    </row>
    <row r="1082" spans="1:14" x14ac:dyDescent="0.25">
      <c r="A1082" t="s">
        <v>29</v>
      </c>
      <c r="B1082">
        <v>2</v>
      </c>
      <c r="C1082" t="s">
        <v>30</v>
      </c>
      <c r="D1082" t="s">
        <v>36</v>
      </c>
      <c r="E1082" s="2">
        <v>18</v>
      </c>
      <c r="F1082">
        <v>0</v>
      </c>
      <c r="G1082">
        <v>18</v>
      </c>
      <c r="H1082">
        <v>3.7</v>
      </c>
      <c r="I1082" t="s">
        <v>33</v>
      </c>
      <c r="J1082" s="33" t="s">
        <v>149</v>
      </c>
      <c r="M1082" t="s">
        <v>70</v>
      </c>
      <c r="N1082">
        <v>24</v>
      </c>
    </row>
    <row r="1083" spans="1:14" x14ac:dyDescent="0.25">
      <c r="A1083" t="s">
        <v>29</v>
      </c>
      <c r="B1083">
        <v>3</v>
      </c>
      <c r="C1083" t="s">
        <v>30</v>
      </c>
      <c r="D1083" t="s">
        <v>38</v>
      </c>
      <c r="E1083" s="2">
        <v>18</v>
      </c>
      <c r="F1083">
        <v>0</v>
      </c>
      <c r="G1083">
        <v>18</v>
      </c>
      <c r="H1083">
        <v>1.2</v>
      </c>
      <c r="I1083" t="s">
        <v>33</v>
      </c>
      <c r="J1083" s="33" t="s">
        <v>149</v>
      </c>
      <c r="M1083" t="s">
        <v>70</v>
      </c>
      <c r="N1083">
        <v>72</v>
      </c>
    </row>
    <row r="1084" spans="1:14" x14ac:dyDescent="0.25">
      <c r="A1084" t="s">
        <v>29</v>
      </c>
      <c r="B1084">
        <v>3</v>
      </c>
      <c r="C1084" t="s">
        <v>34</v>
      </c>
      <c r="D1084" t="s">
        <v>39</v>
      </c>
      <c r="E1084" s="2">
        <v>18</v>
      </c>
      <c r="F1084">
        <v>0</v>
      </c>
      <c r="G1084">
        <v>18</v>
      </c>
      <c r="H1084">
        <v>11.7</v>
      </c>
      <c r="I1084" t="s">
        <v>33</v>
      </c>
      <c r="J1084" s="33" t="s">
        <v>149</v>
      </c>
      <c r="M1084" t="s">
        <v>73</v>
      </c>
      <c r="N1084">
        <v>5</v>
      </c>
    </row>
    <row r="1085" spans="1:14" x14ac:dyDescent="0.25">
      <c r="A1085" t="s">
        <v>29</v>
      </c>
      <c r="B1085">
        <v>4</v>
      </c>
      <c r="C1085" t="s">
        <v>30</v>
      </c>
      <c r="D1085" t="s">
        <v>40</v>
      </c>
      <c r="E1085" s="2">
        <v>18</v>
      </c>
      <c r="F1085">
        <v>0</v>
      </c>
      <c r="G1085">
        <v>18</v>
      </c>
      <c r="H1085">
        <v>14.2</v>
      </c>
      <c r="I1085" t="s">
        <v>33</v>
      </c>
      <c r="J1085" s="33" t="s">
        <v>149</v>
      </c>
      <c r="M1085" t="s">
        <v>73</v>
      </c>
      <c r="N1085">
        <v>9</v>
      </c>
    </row>
    <row r="1086" spans="1:14" x14ac:dyDescent="0.25">
      <c r="A1086" t="s">
        <v>42</v>
      </c>
      <c r="B1086">
        <v>1</v>
      </c>
      <c r="C1086" t="s">
        <v>34</v>
      </c>
      <c r="D1086" t="s">
        <v>44</v>
      </c>
      <c r="E1086" s="2">
        <v>18</v>
      </c>
      <c r="F1086">
        <v>0</v>
      </c>
      <c r="G1086">
        <v>18</v>
      </c>
      <c r="H1086">
        <v>4.5</v>
      </c>
      <c r="I1086" t="s">
        <v>33</v>
      </c>
      <c r="J1086" s="33" t="s">
        <v>149</v>
      </c>
      <c r="M1086" t="s">
        <v>73</v>
      </c>
      <c r="N1086">
        <v>58</v>
      </c>
    </row>
    <row r="1087" spans="1:14" x14ac:dyDescent="0.25">
      <c r="A1087" t="s">
        <v>42</v>
      </c>
      <c r="B1087">
        <v>2</v>
      </c>
      <c r="C1087" t="s">
        <v>30</v>
      </c>
      <c r="D1087" t="s">
        <v>45</v>
      </c>
      <c r="E1087" s="2">
        <v>18</v>
      </c>
      <c r="F1087">
        <v>0</v>
      </c>
      <c r="G1087">
        <v>18</v>
      </c>
      <c r="H1087">
        <v>11</v>
      </c>
      <c r="I1087" t="s">
        <v>33</v>
      </c>
      <c r="J1087" s="33" t="s">
        <v>149</v>
      </c>
      <c r="M1087" t="s">
        <v>73</v>
      </c>
      <c r="N1087">
        <v>17</v>
      </c>
    </row>
    <row r="1088" spans="1:14" x14ac:dyDescent="0.25">
      <c r="A1088" t="s">
        <v>42</v>
      </c>
      <c r="B1088">
        <v>2</v>
      </c>
      <c r="C1088" t="s">
        <v>34</v>
      </c>
      <c r="D1088" t="s">
        <v>46</v>
      </c>
      <c r="E1088" s="2">
        <v>18</v>
      </c>
      <c r="F1088">
        <v>0</v>
      </c>
      <c r="G1088">
        <v>18</v>
      </c>
      <c r="H1088">
        <v>6.1</v>
      </c>
      <c r="I1088" t="s">
        <v>33</v>
      </c>
      <c r="J1088" s="33" t="s">
        <v>149</v>
      </c>
      <c r="M1088" t="s">
        <v>73</v>
      </c>
      <c r="N1088">
        <v>35</v>
      </c>
    </row>
    <row r="1089" spans="1:14" x14ac:dyDescent="0.25">
      <c r="A1089" t="s">
        <v>42</v>
      </c>
      <c r="B1089">
        <v>5</v>
      </c>
      <c r="C1089" t="s">
        <v>30</v>
      </c>
      <c r="D1089" t="s">
        <v>47</v>
      </c>
      <c r="E1089" s="2">
        <v>18</v>
      </c>
      <c r="F1089">
        <v>0</v>
      </c>
      <c r="G1089">
        <v>18</v>
      </c>
      <c r="H1089">
        <v>12.5</v>
      </c>
      <c r="I1089" t="s">
        <v>33</v>
      </c>
      <c r="J1089" s="33" t="s">
        <v>149</v>
      </c>
      <c r="M1089" t="s">
        <v>73</v>
      </c>
      <c r="N1089">
        <v>26</v>
      </c>
    </row>
    <row r="1090" spans="1:14" x14ac:dyDescent="0.25">
      <c r="A1090" t="s">
        <v>42</v>
      </c>
      <c r="B1090">
        <v>3</v>
      </c>
      <c r="C1090" t="s">
        <v>30</v>
      </c>
      <c r="D1090" t="s">
        <v>49</v>
      </c>
      <c r="E1090" s="2">
        <v>18</v>
      </c>
      <c r="F1090">
        <v>0</v>
      </c>
      <c r="G1090">
        <v>18</v>
      </c>
      <c r="H1090">
        <v>11</v>
      </c>
      <c r="I1090" t="s">
        <v>33</v>
      </c>
      <c r="J1090" s="33" t="s">
        <v>149</v>
      </c>
      <c r="M1090" t="s">
        <v>73</v>
      </c>
      <c r="N1090">
        <v>11</v>
      </c>
    </row>
    <row r="1091" spans="1:14" x14ac:dyDescent="0.25">
      <c r="A1091" t="s">
        <v>42</v>
      </c>
      <c r="B1091">
        <v>3</v>
      </c>
      <c r="C1091" t="s">
        <v>34</v>
      </c>
      <c r="D1091" t="s">
        <v>50</v>
      </c>
      <c r="E1091" s="2">
        <v>18</v>
      </c>
      <c r="F1091">
        <v>0</v>
      </c>
      <c r="G1091">
        <v>18</v>
      </c>
      <c r="H1091">
        <v>4</v>
      </c>
      <c r="I1091" t="s">
        <v>33</v>
      </c>
      <c r="J1091" s="33" t="s">
        <v>149</v>
      </c>
      <c r="M1091" t="s">
        <v>73</v>
      </c>
      <c r="N1091">
        <v>13</v>
      </c>
    </row>
    <row r="1092" spans="1:14" x14ac:dyDescent="0.25">
      <c r="A1092" t="s">
        <v>42</v>
      </c>
      <c r="B1092">
        <v>4</v>
      </c>
      <c r="C1092" t="s">
        <v>30</v>
      </c>
      <c r="D1092" t="s">
        <v>51</v>
      </c>
      <c r="E1092" s="2">
        <v>18</v>
      </c>
      <c r="F1092">
        <v>0</v>
      </c>
      <c r="G1092">
        <v>18</v>
      </c>
      <c r="H1092">
        <v>10.4</v>
      </c>
      <c r="I1092" t="s">
        <v>33</v>
      </c>
      <c r="J1092" s="33" t="s">
        <v>149</v>
      </c>
      <c r="M1092" t="s">
        <v>73</v>
      </c>
      <c r="N1092">
        <v>0</v>
      </c>
    </row>
    <row r="1093" spans="1:14" x14ac:dyDescent="0.25">
      <c r="A1093" t="s">
        <v>54</v>
      </c>
      <c r="B1093">
        <v>4</v>
      </c>
      <c r="C1093" t="s">
        <v>30</v>
      </c>
      <c r="D1093" t="s">
        <v>61</v>
      </c>
      <c r="E1093" s="2">
        <v>18</v>
      </c>
      <c r="F1093">
        <v>0</v>
      </c>
      <c r="G1093">
        <v>18</v>
      </c>
      <c r="H1093">
        <v>8.1</v>
      </c>
      <c r="I1093" t="s">
        <v>33</v>
      </c>
      <c r="J1093" s="33" t="s">
        <v>149</v>
      </c>
      <c r="M1093" t="s">
        <v>75</v>
      </c>
      <c r="N1093">
        <v>140</v>
      </c>
    </row>
    <row r="1094" spans="1:14" x14ac:dyDescent="0.25">
      <c r="A1094" t="s">
        <v>54</v>
      </c>
      <c r="B1094">
        <v>4</v>
      </c>
      <c r="C1094" t="s">
        <v>34</v>
      </c>
      <c r="D1094" t="s">
        <v>62</v>
      </c>
      <c r="E1094" s="2">
        <v>18</v>
      </c>
      <c r="F1094">
        <v>11</v>
      </c>
      <c r="G1094">
        <v>7</v>
      </c>
      <c r="H1094">
        <v>0</v>
      </c>
      <c r="I1094" t="s">
        <v>32</v>
      </c>
      <c r="J1094" s="33" t="s">
        <v>149</v>
      </c>
      <c r="M1094" t="s">
        <v>75</v>
      </c>
      <c r="N1094">
        <v>28</v>
      </c>
    </row>
    <row r="1095" spans="1:14" x14ac:dyDescent="0.25">
      <c r="A1095" t="s">
        <v>54</v>
      </c>
      <c r="B1095">
        <v>4</v>
      </c>
      <c r="C1095" t="s">
        <v>34</v>
      </c>
      <c r="D1095" t="s">
        <v>62</v>
      </c>
      <c r="E1095" s="2">
        <v>18</v>
      </c>
      <c r="F1095">
        <v>18</v>
      </c>
      <c r="G1095">
        <v>0</v>
      </c>
      <c r="H1095">
        <v>0</v>
      </c>
      <c r="I1095" t="s">
        <v>32</v>
      </c>
      <c r="J1095" s="33" t="s">
        <v>149</v>
      </c>
      <c r="M1095" t="s">
        <v>75</v>
      </c>
      <c r="N1095">
        <v>6</v>
      </c>
    </row>
    <row r="1096" spans="1:14" x14ac:dyDescent="0.25">
      <c r="A1096" t="s">
        <v>71</v>
      </c>
      <c r="B1096">
        <v>8</v>
      </c>
      <c r="C1096" t="s">
        <v>30</v>
      </c>
      <c r="D1096" t="s">
        <v>72</v>
      </c>
      <c r="E1096" s="2">
        <v>18</v>
      </c>
      <c r="F1096">
        <v>0</v>
      </c>
      <c r="G1096">
        <v>18</v>
      </c>
      <c r="H1096">
        <v>7.3</v>
      </c>
      <c r="I1096" t="s">
        <v>33</v>
      </c>
      <c r="J1096" s="33" t="s">
        <v>149</v>
      </c>
      <c r="M1096" t="s">
        <v>75</v>
      </c>
      <c r="N1096">
        <v>6</v>
      </c>
    </row>
    <row r="1097" spans="1:14" x14ac:dyDescent="0.25">
      <c r="A1097" t="s">
        <v>71</v>
      </c>
      <c r="B1097">
        <v>10</v>
      </c>
      <c r="C1097" t="s">
        <v>34</v>
      </c>
      <c r="D1097" t="s">
        <v>75</v>
      </c>
      <c r="E1097" s="2">
        <v>18</v>
      </c>
      <c r="F1097">
        <v>0</v>
      </c>
      <c r="G1097">
        <v>18</v>
      </c>
      <c r="H1097">
        <v>10.1</v>
      </c>
      <c r="I1097" t="s">
        <v>33</v>
      </c>
      <c r="J1097" s="33" t="s">
        <v>149</v>
      </c>
      <c r="M1097" t="s">
        <v>75</v>
      </c>
      <c r="N1097">
        <v>11</v>
      </c>
    </row>
    <row r="1098" spans="1:14" x14ac:dyDescent="0.25">
      <c r="A1098" t="s">
        <v>29</v>
      </c>
      <c r="B1098">
        <v>2</v>
      </c>
      <c r="C1098" t="s">
        <v>34</v>
      </c>
      <c r="D1098" t="s">
        <v>37</v>
      </c>
      <c r="E1098" s="2">
        <v>19</v>
      </c>
      <c r="F1098">
        <v>11</v>
      </c>
      <c r="G1098">
        <v>8</v>
      </c>
      <c r="H1098">
        <v>0</v>
      </c>
      <c r="I1098" t="s">
        <v>32</v>
      </c>
      <c r="J1098" s="33" t="s">
        <v>149</v>
      </c>
      <c r="M1098" t="s">
        <v>75</v>
      </c>
      <c r="N1098">
        <v>17</v>
      </c>
    </row>
    <row r="1099" spans="1:14" x14ac:dyDescent="0.25">
      <c r="A1099" t="s">
        <v>29</v>
      </c>
      <c r="B1099">
        <v>3</v>
      </c>
      <c r="C1099" t="s">
        <v>30</v>
      </c>
      <c r="D1099" t="s">
        <v>38</v>
      </c>
      <c r="E1099" s="2">
        <v>19</v>
      </c>
      <c r="F1099">
        <v>0</v>
      </c>
      <c r="G1099">
        <v>19</v>
      </c>
      <c r="H1099">
        <v>11.4</v>
      </c>
      <c r="I1099" t="s">
        <v>33</v>
      </c>
      <c r="J1099" s="33" t="s">
        <v>149</v>
      </c>
      <c r="M1099" t="s">
        <v>75</v>
      </c>
      <c r="N1099">
        <v>11</v>
      </c>
    </row>
    <row r="1100" spans="1:14" x14ac:dyDescent="0.25">
      <c r="A1100" t="s">
        <v>29</v>
      </c>
      <c r="B1100">
        <v>3</v>
      </c>
      <c r="C1100" t="s">
        <v>34</v>
      </c>
      <c r="D1100" t="s">
        <v>39</v>
      </c>
      <c r="E1100" s="2">
        <v>19</v>
      </c>
      <c r="F1100">
        <v>0</v>
      </c>
      <c r="G1100">
        <v>19</v>
      </c>
      <c r="H1100">
        <v>14.3</v>
      </c>
      <c r="I1100" t="s">
        <v>33</v>
      </c>
      <c r="J1100" s="33" t="s">
        <v>149</v>
      </c>
      <c r="M1100" t="s">
        <v>75</v>
      </c>
      <c r="N1100">
        <v>35</v>
      </c>
    </row>
    <row r="1101" spans="1:14" x14ac:dyDescent="0.25">
      <c r="A1101" t="s">
        <v>52</v>
      </c>
      <c r="B1101">
        <v>4</v>
      </c>
      <c r="C1101" t="s">
        <v>34</v>
      </c>
      <c r="D1101" t="s">
        <v>53</v>
      </c>
      <c r="E1101" s="2">
        <v>19</v>
      </c>
      <c r="F1101">
        <v>0</v>
      </c>
      <c r="G1101">
        <v>19</v>
      </c>
      <c r="H1101">
        <v>12.5</v>
      </c>
      <c r="I1101" t="s">
        <v>33</v>
      </c>
      <c r="J1101" s="33" t="s">
        <v>149</v>
      </c>
      <c r="M1101" t="s">
        <v>75</v>
      </c>
      <c r="N1101">
        <v>12</v>
      </c>
    </row>
    <row r="1102" spans="1:14" x14ac:dyDescent="0.25">
      <c r="A1102" t="s">
        <v>63</v>
      </c>
      <c r="B1102">
        <v>5</v>
      </c>
      <c r="C1102" t="s">
        <v>34</v>
      </c>
      <c r="D1102" t="s">
        <v>65</v>
      </c>
      <c r="E1102" s="2">
        <v>19</v>
      </c>
      <c r="F1102">
        <v>0</v>
      </c>
      <c r="G1102">
        <v>19</v>
      </c>
      <c r="H1102">
        <v>4.3</v>
      </c>
      <c r="I1102" t="s">
        <v>33</v>
      </c>
      <c r="J1102" s="33" t="s">
        <v>149</v>
      </c>
      <c r="M1102" t="s">
        <v>75</v>
      </c>
      <c r="N1102">
        <v>7</v>
      </c>
    </row>
    <row r="1103" spans="1:14" x14ac:dyDescent="0.25">
      <c r="A1103" t="s">
        <v>71</v>
      </c>
      <c r="B1103">
        <v>10</v>
      </c>
      <c r="C1103" t="s">
        <v>30</v>
      </c>
      <c r="D1103" t="s">
        <v>74</v>
      </c>
      <c r="E1103" s="2">
        <v>19</v>
      </c>
      <c r="F1103">
        <v>0</v>
      </c>
      <c r="G1103">
        <v>19</v>
      </c>
      <c r="H1103">
        <v>14.8</v>
      </c>
      <c r="I1103" t="s">
        <v>33</v>
      </c>
      <c r="J1103" s="33" t="s">
        <v>149</v>
      </c>
      <c r="M1103" t="s">
        <v>75</v>
      </c>
      <c r="N1103">
        <v>12</v>
      </c>
    </row>
    <row r="1104" spans="1:14" x14ac:dyDescent="0.25">
      <c r="A1104" t="s">
        <v>71</v>
      </c>
      <c r="B1104">
        <v>11</v>
      </c>
      <c r="C1104" t="s">
        <v>30</v>
      </c>
      <c r="D1104" t="s">
        <v>76</v>
      </c>
      <c r="E1104" s="2">
        <v>19</v>
      </c>
      <c r="F1104">
        <v>0</v>
      </c>
      <c r="G1104">
        <v>19</v>
      </c>
      <c r="H1104">
        <v>6.6</v>
      </c>
      <c r="I1104" t="s">
        <v>33</v>
      </c>
      <c r="J1104" s="33" t="s">
        <v>149</v>
      </c>
      <c r="M1104" t="s">
        <v>75</v>
      </c>
      <c r="N1104">
        <v>7</v>
      </c>
    </row>
    <row r="1105" spans="1:14" x14ac:dyDescent="0.25">
      <c r="A1105" t="s">
        <v>71</v>
      </c>
      <c r="B1105">
        <v>11</v>
      </c>
      <c r="C1105" t="s">
        <v>34</v>
      </c>
      <c r="D1105" t="s">
        <v>77</v>
      </c>
      <c r="E1105" s="2">
        <v>19</v>
      </c>
      <c r="F1105">
        <v>0</v>
      </c>
      <c r="G1105">
        <v>19</v>
      </c>
      <c r="H1105">
        <v>6.7</v>
      </c>
      <c r="I1105" t="s">
        <v>33</v>
      </c>
      <c r="J1105" s="33" t="s">
        <v>149</v>
      </c>
      <c r="M1105" t="s">
        <v>75</v>
      </c>
      <c r="N1105">
        <v>27</v>
      </c>
    </row>
    <row r="1106" spans="1:14" x14ac:dyDescent="0.25">
      <c r="A1106" t="s">
        <v>29</v>
      </c>
      <c r="B1106">
        <v>1</v>
      </c>
      <c r="C1106" t="s">
        <v>30</v>
      </c>
      <c r="D1106" t="s">
        <v>31</v>
      </c>
      <c r="E1106" s="2">
        <v>20</v>
      </c>
      <c r="F1106">
        <v>12</v>
      </c>
      <c r="G1106">
        <v>8</v>
      </c>
      <c r="H1106">
        <v>0</v>
      </c>
      <c r="I1106" t="s">
        <v>32</v>
      </c>
      <c r="J1106" s="33" t="s">
        <v>149</v>
      </c>
      <c r="M1106" t="s">
        <v>75</v>
      </c>
      <c r="N1106">
        <v>3</v>
      </c>
    </row>
    <row r="1107" spans="1:14" x14ac:dyDescent="0.25">
      <c r="A1107" t="s">
        <v>29</v>
      </c>
      <c r="B1107">
        <v>1</v>
      </c>
      <c r="C1107" t="s">
        <v>34</v>
      </c>
      <c r="D1107" t="s">
        <v>35</v>
      </c>
      <c r="E1107" s="2">
        <v>20</v>
      </c>
      <c r="F1107">
        <v>12</v>
      </c>
      <c r="G1107">
        <v>8</v>
      </c>
      <c r="H1107">
        <v>0</v>
      </c>
      <c r="I1107" t="s">
        <v>32</v>
      </c>
      <c r="J1107" s="33" t="s">
        <v>149</v>
      </c>
      <c r="M1107" t="s">
        <v>75</v>
      </c>
      <c r="N1107">
        <v>0</v>
      </c>
    </row>
    <row r="1108" spans="1:14" x14ac:dyDescent="0.25">
      <c r="A1108" t="s">
        <v>29</v>
      </c>
      <c r="B1108">
        <v>2</v>
      </c>
      <c r="C1108" t="s">
        <v>34</v>
      </c>
      <c r="D1108" t="s">
        <v>37</v>
      </c>
      <c r="E1108" s="2">
        <v>20</v>
      </c>
      <c r="F1108">
        <v>0</v>
      </c>
      <c r="G1108">
        <v>20</v>
      </c>
      <c r="H1108">
        <v>12.8</v>
      </c>
      <c r="I1108" t="s">
        <v>33</v>
      </c>
      <c r="J1108" s="33" t="s">
        <v>149</v>
      </c>
      <c r="M1108" t="s">
        <v>75</v>
      </c>
      <c r="N1108">
        <v>8</v>
      </c>
    </row>
    <row r="1109" spans="1:14" x14ac:dyDescent="0.25">
      <c r="A1109" t="s">
        <v>29</v>
      </c>
      <c r="B1109">
        <v>2</v>
      </c>
      <c r="C1109" t="s">
        <v>34</v>
      </c>
      <c r="D1109" t="s">
        <v>37</v>
      </c>
      <c r="E1109" s="2">
        <v>20</v>
      </c>
      <c r="F1109">
        <v>0</v>
      </c>
      <c r="G1109">
        <v>20</v>
      </c>
      <c r="H1109">
        <v>11</v>
      </c>
      <c r="I1109" t="s">
        <v>33</v>
      </c>
      <c r="J1109" s="33" t="s">
        <v>149</v>
      </c>
      <c r="M1109" t="s">
        <v>75</v>
      </c>
      <c r="N1109">
        <v>5</v>
      </c>
    </row>
    <row r="1110" spans="1:14" x14ac:dyDescent="0.25">
      <c r="A1110" t="s">
        <v>42</v>
      </c>
      <c r="B1110">
        <v>1</v>
      </c>
      <c r="C1110" t="s">
        <v>30</v>
      </c>
      <c r="D1110" t="s">
        <v>43</v>
      </c>
      <c r="E1110" s="2">
        <v>20</v>
      </c>
      <c r="F1110">
        <v>0</v>
      </c>
      <c r="G1110">
        <v>20</v>
      </c>
      <c r="H1110">
        <v>6.6</v>
      </c>
      <c r="I1110" t="s">
        <v>33</v>
      </c>
      <c r="J1110" s="33" t="s">
        <v>149</v>
      </c>
      <c r="M1110" t="s">
        <v>75</v>
      </c>
      <c r="N1110">
        <v>10</v>
      </c>
    </row>
    <row r="1111" spans="1:14" x14ac:dyDescent="0.25">
      <c r="A1111" t="s">
        <v>52</v>
      </c>
      <c r="B1111">
        <v>4</v>
      </c>
      <c r="C1111" t="s">
        <v>34</v>
      </c>
      <c r="D1111" t="s">
        <v>53</v>
      </c>
      <c r="E1111" s="2">
        <v>20</v>
      </c>
      <c r="F1111">
        <v>20</v>
      </c>
      <c r="G1111">
        <v>0</v>
      </c>
      <c r="H1111">
        <v>0</v>
      </c>
      <c r="I1111" t="s">
        <v>32</v>
      </c>
      <c r="J1111" s="33" t="s">
        <v>149</v>
      </c>
      <c r="M1111" t="s">
        <v>75</v>
      </c>
      <c r="N1111">
        <v>18</v>
      </c>
    </row>
    <row r="1112" spans="1:14" x14ac:dyDescent="0.25">
      <c r="A1112" t="s">
        <v>54</v>
      </c>
      <c r="B1112">
        <v>4</v>
      </c>
      <c r="C1112" t="s">
        <v>34</v>
      </c>
      <c r="D1112" t="s">
        <v>62</v>
      </c>
      <c r="E1112" s="2">
        <v>20</v>
      </c>
      <c r="F1112">
        <v>0</v>
      </c>
      <c r="G1112">
        <v>20</v>
      </c>
      <c r="H1112">
        <v>4</v>
      </c>
      <c r="I1112" t="s">
        <v>33</v>
      </c>
      <c r="J1112" s="33" t="s">
        <v>149</v>
      </c>
      <c r="M1112" t="s">
        <v>75</v>
      </c>
      <c r="N1112">
        <v>47</v>
      </c>
    </row>
    <row r="1113" spans="1:14" x14ac:dyDescent="0.25">
      <c r="A1113" t="s">
        <v>71</v>
      </c>
      <c r="B1113">
        <v>10</v>
      </c>
      <c r="C1113" t="s">
        <v>30</v>
      </c>
      <c r="D1113" t="s">
        <v>74</v>
      </c>
      <c r="E1113" s="2">
        <v>20</v>
      </c>
      <c r="F1113">
        <v>0</v>
      </c>
      <c r="G1113">
        <v>20</v>
      </c>
      <c r="H1113">
        <v>10.199999999999999</v>
      </c>
      <c r="I1113" t="s">
        <v>33</v>
      </c>
      <c r="J1113" s="33" t="s">
        <v>149</v>
      </c>
      <c r="M1113" t="s">
        <v>75</v>
      </c>
      <c r="N1113">
        <v>6</v>
      </c>
    </row>
    <row r="1114" spans="1:14" x14ac:dyDescent="0.25">
      <c r="A1114" t="s">
        <v>71</v>
      </c>
      <c r="B1114">
        <v>10</v>
      </c>
      <c r="C1114" t="s">
        <v>34</v>
      </c>
      <c r="D1114" t="s">
        <v>75</v>
      </c>
      <c r="E1114" s="2">
        <v>20</v>
      </c>
      <c r="F1114">
        <v>0</v>
      </c>
      <c r="G1114">
        <v>20</v>
      </c>
      <c r="H1114">
        <v>3.3</v>
      </c>
      <c r="I1114" t="s">
        <v>33</v>
      </c>
      <c r="J1114" s="33" t="s">
        <v>149</v>
      </c>
      <c r="M1114" t="s">
        <v>75</v>
      </c>
      <c r="N1114">
        <v>56</v>
      </c>
    </row>
    <row r="1115" spans="1:14" x14ac:dyDescent="0.25">
      <c r="A1115" t="s">
        <v>29</v>
      </c>
      <c r="B1115">
        <v>1</v>
      </c>
      <c r="C1115" t="s">
        <v>30</v>
      </c>
      <c r="D1115" t="s">
        <v>31</v>
      </c>
      <c r="E1115" s="2">
        <v>21</v>
      </c>
      <c r="F1115">
        <v>0</v>
      </c>
      <c r="G1115">
        <v>21</v>
      </c>
      <c r="H1115">
        <v>1</v>
      </c>
      <c r="I1115" t="s">
        <v>33</v>
      </c>
      <c r="J1115" s="33" t="s">
        <v>139</v>
      </c>
      <c r="M1115" t="s">
        <v>75</v>
      </c>
      <c r="N1115">
        <v>20</v>
      </c>
    </row>
    <row r="1116" spans="1:14" x14ac:dyDescent="0.25">
      <c r="A1116" t="s">
        <v>29</v>
      </c>
      <c r="B1116">
        <v>3</v>
      </c>
      <c r="C1116" t="s">
        <v>34</v>
      </c>
      <c r="D1116" t="s">
        <v>39</v>
      </c>
      <c r="E1116" s="2">
        <v>21</v>
      </c>
      <c r="F1116">
        <v>0</v>
      </c>
      <c r="G1116">
        <v>21</v>
      </c>
      <c r="H1116">
        <v>7.4</v>
      </c>
      <c r="I1116" t="s">
        <v>33</v>
      </c>
      <c r="J1116" s="33" t="s">
        <v>139</v>
      </c>
      <c r="M1116" t="s">
        <v>75</v>
      </c>
      <c r="N1116">
        <v>22</v>
      </c>
    </row>
    <row r="1117" spans="1:14" x14ac:dyDescent="0.25">
      <c r="A1117" t="s">
        <v>42</v>
      </c>
      <c r="B1117">
        <v>1</v>
      </c>
      <c r="C1117" t="s">
        <v>34</v>
      </c>
      <c r="D1117" t="s">
        <v>44</v>
      </c>
      <c r="E1117" s="2">
        <v>21</v>
      </c>
      <c r="F1117">
        <v>0</v>
      </c>
      <c r="G1117">
        <v>21</v>
      </c>
      <c r="H1117">
        <v>93</v>
      </c>
      <c r="I1117" t="s">
        <v>33</v>
      </c>
      <c r="J1117" s="33" t="s">
        <v>139</v>
      </c>
      <c r="M1117" t="s">
        <v>75</v>
      </c>
      <c r="N1117">
        <v>87</v>
      </c>
    </row>
    <row r="1118" spans="1:14" x14ac:dyDescent="0.25">
      <c r="A1118" t="s">
        <v>42</v>
      </c>
      <c r="B1118">
        <v>2</v>
      </c>
      <c r="C1118" t="s">
        <v>30</v>
      </c>
      <c r="D1118" t="s">
        <v>45</v>
      </c>
      <c r="E1118" s="2">
        <v>21</v>
      </c>
      <c r="F1118">
        <v>0</v>
      </c>
      <c r="G1118">
        <v>21</v>
      </c>
      <c r="H1118">
        <v>2.6</v>
      </c>
      <c r="I1118" t="s">
        <v>33</v>
      </c>
      <c r="J1118" s="33" t="s">
        <v>139</v>
      </c>
      <c r="M1118" t="s">
        <v>75</v>
      </c>
      <c r="N1118">
        <v>35</v>
      </c>
    </row>
    <row r="1119" spans="1:14" x14ac:dyDescent="0.25">
      <c r="A1119" t="s">
        <v>42</v>
      </c>
      <c r="B1119">
        <v>2</v>
      </c>
      <c r="C1119" t="s">
        <v>34</v>
      </c>
      <c r="D1119" t="s">
        <v>46</v>
      </c>
      <c r="E1119" s="2">
        <v>21</v>
      </c>
      <c r="F1119">
        <v>0</v>
      </c>
      <c r="G1119">
        <v>21</v>
      </c>
      <c r="H1119">
        <v>11.2</v>
      </c>
      <c r="I1119" t="s">
        <v>33</v>
      </c>
      <c r="J1119" s="33" t="s">
        <v>139</v>
      </c>
      <c r="M1119" t="s">
        <v>75</v>
      </c>
      <c r="N1119">
        <v>21</v>
      </c>
    </row>
    <row r="1120" spans="1:14" x14ac:dyDescent="0.25">
      <c r="A1120" t="s">
        <v>42</v>
      </c>
      <c r="B1120">
        <v>3</v>
      </c>
      <c r="C1120" t="s">
        <v>34</v>
      </c>
      <c r="D1120" t="s">
        <v>50</v>
      </c>
      <c r="E1120" s="2">
        <v>21</v>
      </c>
      <c r="F1120">
        <v>0</v>
      </c>
      <c r="G1120">
        <v>21</v>
      </c>
      <c r="H1120">
        <v>12.5</v>
      </c>
      <c r="I1120" t="s">
        <v>33</v>
      </c>
      <c r="J1120" s="33" t="s">
        <v>139</v>
      </c>
      <c r="M1120" t="s">
        <v>75</v>
      </c>
      <c r="N1120">
        <v>9</v>
      </c>
    </row>
    <row r="1121" spans="1:14" x14ac:dyDescent="0.25">
      <c r="A1121" t="s">
        <v>71</v>
      </c>
      <c r="B1121">
        <v>10</v>
      </c>
      <c r="C1121" t="s">
        <v>34</v>
      </c>
      <c r="D1121" t="s">
        <v>75</v>
      </c>
      <c r="E1121" s="2">
        <v>21</v>
      </c>
      <c r="F1121">
        <v>0</v>
      </c>
      <c r="G1121">
        <v>21</v>
      </c>
      <c r="H1121">
        <v>11</v>
      </c>
      <c r="I1121" t="s">
        <v>33</v>
      </c>
      <c r="J1121" s="33" t="s">
        <v>139</v>
      </c>
      <c r="M1121" t="s">
        <v>75</v>
      </c>
      <c r="N1121">
        <v>48</v>
      </c>
    </row>
    <row r="1122" spans="1:14" x14ac:dyDescent="0.25">
      <c r="A1122" t="s">
        <v>71</v>
      </c>
      <c r="B1122">
        <v>11</v>
      </c>
      <c r="C1122" t="s">
        <v>34</v>
      </c>
      <c r="D1122" t="s">
        <v>77</v>
      </c>
      <c r="E1122" s="2">
        <v>21</v>
      </c>
      <c r="F1122">
        <v>0</v>
      </c>
      <c r="G1122">
        <v>21</v>
      </c>
      <c r="H1122">
        <v>18.3</v>
      </c>
      <c r="I1122" t="s">
        <v>33</v>
      </c>
      <c r="J1122" s="33" t="s">
        <v>139</v>
      </c>
      <c r="M1122" t="s">
        <v>75</v>
      </c>
      <c r="N1122">
        <v>35</v>
      </c>
    </row>
    <row r="1123" spans="1:14" x14ac:dyDescent="0.25">
      <c r="A1123" t="s">
        <v>71</v>
      </c>
      <c r="B1123">
        <v>11</v>
      </c>
      <c r="C1123" t="s">
        <v>34</v>
      </c>
      <c r="D1123" t="s">
        <v>77</v>
      </c>
      <c r="E1123" s="2">
        <v>21</v>
      </c>
      <c r="F1123">
        <v>0</v>
      </c>
      <c r="G1123">
        <v>21</v>
      </c>
      <c r="H1123">
        <v>10.1</v>
      </c>
      <c r="I1123" t="s">
        <v>33</v>
      </c>
      <c r="J1123" s="33" t="s">
        <v>139</v>
      </c>
      <c r="M1123" t="s">
        <v>75</v>
      </c>
      <c r="N1123">
        <v>114</v>
      </c>
    </row>
    <row r="1124" spans="1:14" x14ac:dyDescent="0.25">
      <c r="A1124" t="s">
        <v>29</v>
      </c>
      <c r="B1124">
        <v>1</v>
      </c>
      <c r="C1124" t="s">
        <v>30</v>
      </c>
      <c r="D1124" t="s">
        <v>31</v>
      </c>
      <c r="E1124" s="2">
        <v>22</v>
      </c>
      <c r="F1124">
        <v>5</v>
      </c>
      <c r="G1124">
        <v>17</v>
      </c>
      <c r="H1124">
        <v>0.7</v>
      </c>
      <c r="I1124" t="s">
        <v>32</v>
      </c>
      <c r="J1124" s="33" t="s">
        <v>139</v>
      </c>
      <c r="M1124" t="s">
        <v>75</v>
      </c>
      <c r="N1124">
        <v>0</v>
      </c>
    </row>
    <row r="1125" spans="1:14" x14ac:dyDescent="0.25">
      <c r="A1125" t="s">
        <v>29</v>
      </c>
      <c r="B1125">
        <v>1</v>
      </c>
      <c r="C1125" t="s">
        <v>30</v>
      </c>
      <c r="D1125" t="s">
        <v>31</v>
      </c>
      <c r="E1125" s="2">
        <v>22</v>
      </c>
      <c r="F1125">
        <v>0</v>
      </c>
      <c r="G1125">
        <v>22</v>
      </c>
      <c r="H1125">
        <v>4.3</v>
      </c>
      <c r="I1125" t="s">
        <v>33</v>
      </c>
      <c r="J1125" s="33" t="s">
        <v>139</v>
      </c>
      <c r="M1125" t="s">
        <v>77</v>
      </c>
      <c r="N1125">
        <v>24</v>
      </c>
    </row>
    <row r="1126" spans="1:14" x14ac:dyDescent="0.25">
      <c r="A1126" t="s">
        <v>29</v>
      </c>
      <c r="B1126">
        <v>2</v>
      </c>
      <c r="C1126" t="s">
        <v>30</v>
      </c>
      <c r="D1126" t="s">
        <v>36</v>
      </c>
      <c r="E1126" s="2">
        <v>22</v>
      </c>
      <c r="F1126">
        <v>0</v>
      </c>
      <c r="G1126">
        <v>22</v>
      </c>
      <c r="H1126">
        <v>7.8</v>
      </c>
      <c r="I1126" t="s">
        <v>33</v>
      </c>
      <c r="J1126" s="33" t="s">
        <v>139</v>
      </c>
      <c r="M1126" t="s">
        <v>77</v>
      </c>
      <c r="N1126">
        <v>19</v>
      </c>
    </row>
    <row r="1127" spans="1:14" x14ac:dyDescent="0.25">
      <c r="A1127" t="s">
        <v>29</v>
      </c>
      <c r="B1127">
        <v>2</v>
      </c>
      <c r="C1127" t="s">
        <v>34</v>
      </c>
      <c r="D1127" t="s">
        <v>37</v>
      </c>
      <c r="E1127" s="2">
        <v>22</v>
      </c>
      <c r="F1127">
        <v>17.100000000000001</v>
      </c>
      <c r="G1127">
        <v>4.9000000000000004</v>
      </c>
      <c r="H1127">
        <v>0</v>
      </c>
      <c r="I1127" t="s">
        <v>32</v>
      </c>
      <c r="J1127" s="33" t="s">
        <v>139</v>
      </c>
      <c r="M1127" t="s">
        <v>77</v>
      </c>
      <c r="N1127">
        <v>13</v>
      </c>
    </row>
    <row r="1128" spans="1:14" x14ac:dyDescent="0.25">
      <c r="A1128" t="s">
        <v>29</v>
      </c>
      <c r="B1128">
        <v>3</v>
      </c>
      <c r="C1128" t="s">
        <v>30</v>
      </c>
      <c r="D1128" t="s">
        <v>38</v>
      </c>
      <c r="E1128" s="2">
        <v>22</v>
      </c>
      <c r="F1128">
        <v>0</v>
      </c>
      <c r="G1128">
        <v>22</v>
      </c>
      <c r="H1128">
        <v>8.5</v>
      </c>
      <c r="I1128" t="s">
        <v>33</v>
      </c>
      <c r="J1128" s="33" t="s">
        <v>139</v>
      </c>
      <c r="M1128" t="s">
        <v>77</v>
      </c>
      <c r="N1128">
        <v>68</v>
      </c>
    </row>
    <row r="1129" spans="1:14" x14ac:dyDescent="0.25">
      <c r="A1129" t="s">
        <v>29</v>
      </c>
      <c r="B1129">
        <v>3</v>
      </c>
      <c r="C1129" t="s">
        <v>30</v>
      </c>
      <c r="D1129" t="s">
        <v>38</v>
      </c>
      <c r="E1129" s="2">
        <v>22</v>
      </c>
      <c r="F1129">
        <v>0</v>
      </c>
      <c r="G1129">
        <v>22</v>
      </c>
      <c r="H1129">
        <v>8.6</v>
      </c>
      <c r="I1129" t="s">
        <v>33</v>
      </c>
      <c r="J1129" s="33" t="s">
        <v>139</v>
      </c>
      <c r="M1129" t="s">
        <v>77</v>
      </c>
      <c r="N1129">
        <v>24</v>
      </c>
    </row>
    <row r="1130" spans="1:14" x14ac:dyDescent="0.25">
      <c r="A1130" t="s">
        <v>29</v>
      </c>
      <c r="B1130">
        <v>3</v>
      </c>
      <c r="C1130" t="s">
        <v>30</v>
      </c>
      <c r="D1130" t="s">
        <v>38</v>
      </c>
      <c r="E1130" s="2">
        <v>22</v>
      </c>
      <c r="F1130">
        <v>0</v>
      </c>
      <c r="G1130">
        <v>22</v>
      </c>
      <c r="H1130">
        <v>10.7</v>
      </c>
      <c r="I1130" t="s">
        <v>33</v>
      </c>
      <c r="J1130" s="33" t="s">
        <v>139</v>
      </c>
      <c r="M1130" t="s">
        <v>77</v>
      </c>
      <c r="N1130">
        <v>7</v>
      </c>
    </row>
    <row r="1131" spans="1:14" x14ac:dyDescent="0.25">
      <c r="A1131" t="s">
        <v>29</v>
      </c>
      <c r="B1131">
        <v>3</v>
      </c>
      <c r="C1131" t="s">
        <v>30</v>
      </c>
      <c r="D1131" t="s">
        <v>38</v>
      </c>
      <c r="E1131" s="2">
        <v>22</v>
      </c>
      <c r="F1131">
        <v>0</v>
      </c>
      <c r="G1131">
        <v>22</v>
      </c>
      <c r="H1131">
        <v>11.3</v>
      </c>
      <c r="I1131" t="s">
        <v>33</v>
      </c>
      <c r="J1131" s="33" t="s">
        <v>139</v>
      </c>
      <c r="M1131" t="s">
        <v>77</v>
      </c>
      <c r="N1131">
        <v>25</v>
      </c>
    </row>
    <row r="1132" spans="1:14" x14ac:dyDescent="0.25">
      <c r="A1132" t="s">
        <v>29</v>
      </c>
      <c r="B1132">
        <v>3</v>
      </c>
      <c r="C1132" t="s">
        <v>34</v>
      </c>
      <c r="D1132" t="s">
        <v>39</v>
      </c>
      <c r="E1132" s="2">
        <v>22</v>
      </c>
      <c r="F1132">
        <v>0</v>
      </c>
      <c r="G1132">
        <v>22</v>
      </c>
      <c r="H1132">
        <v>6.3</v>
      </c>
      <c r="I1132" t="s">
        <v>33</v>
      </c>
      <c r="J1132" s="33" t="s">
        <v>139</v>
      </c>
      <c r="M1132" t="s">
        <v>77</v>
      </c>
      <c r="N1132">
        <v>8</v>
      </c>
    </row>
    <row r="1133" spans="1:14" x14ac:dyDescent="0.25">
      <c r="A1133" t="s">
        <v>42</v>
      </c>
      <c r="B1133">
        <v>1</v>
      </c>
      <c r="C1133" t="s">
        <v>30</v>
      </c>
      <c r="D1133" t="s">
        <v>43</v>
      </c>
      <c r="E1133" s="2">
        <v>22</v>
      </c>
      <c r="F1133">
        <v>0</v>
      </c>
      <c r="G1133">
        <v>22</v>
      </c>
      <c r="H1133">
        <v>5.3</v>
      </c>
      <c r="I1133" t="s">
        <v>33</v>
      </c>
      <c r="J1133" s="33" t="s">
        <v>139</v>
      </c>
      <c r="M1133" t="s">
        <v>77</v>
      </c>
      <c r="N1133">
        <v>0</v>
      </c>
    </row>
    <row r="1134" spans="1:14" x14ac:dyDescent="0.25">
      <c r="A1134" t="s">
        <v>42</v>
      </c>
      <c r="B1134">
        <v>1</v>
      </c>
      <c r="C1134" t="s">
        <v>34</v>
      </c>
      <c r="D1134" t="s">
        <v>44</v>
      </c>
      <c r="E1134" s="2">
        <v>22</v>
      </c>
      <c r="F1134">
        <v>0</v>
      </c>
      <c r="G1134">
        <v>22</v>
      </c>
      <c r="H1134">
        <v>7.8</v>
      </c>
      <c r="I1134" t="s">
        <v>33</v>
      </c>
      <c r="J1134" s="33" t="s">
        <v>139</v>
      </c>
      <c r="M1134" t="s">
        <v>77</v>
      </c>
      <c r="N1134">
        <v>21</v>
      </c>
    </row>
    <row r="1135" spans="1:14" x14ac:dyDescent="0.25">
      <c r="A1135" t="s">
        <v>42</v>
      </c>
      <c r="B1135">
        <v>1</v>
      </c>
      <c r="C1135" t="s">
        <v>34</v>
      </c>
      <c r="D1135" t="s">
        <v>44</v>
      </c>
      <c r="E1135" s="2">
        <v>22</v>
      </c>
      <c r="F1135">
        <v>0</v>
      </c>
      <c r="G1135">
        <v>22</v>
      </c>
      <c r="H1135">
        <v>4.5</v>
      </c>
      <c r="I1135" t="s">
        <v>33</v>
      </c>
      <c r="J1135" s="33" t="s">
        <v>139</v>
      </c>
      <c r="M1135" t="s">
        <v>77</v>
      </c>
      <c r="N1135">
        <v>30</v>
      </c>
    </row>
    <row r="1136" spans="1:14" x14ac:dyDescent="0.25">
      <c r="A1136" t="s">
        <v>42</v>
      </c>
      <c r="B1136">
        <v>4</v>
      </c>
      <c r="C1136" t="s">
        <v>30</v>
      </c>
      <c r="D1136" t="s">
        <v>51</v>
      </c>
      <c r="E1136" s="2">
        <v>22</v>
      </c>
      <c r="F1136">
        <v>0</v>
      </c>
      <c r="G1136">
        <v>22</v>
      </c>
      <c r="H1136">
        <v>9.6</v>
      </c>
      <c r="I1136" t="s">
        <v>33</v>
      </c>
      <c r="J1136" s="33" t="s">
        <v>139</v>
      </c>
      <c r="M1136" t="s">
        <v>77</v>
      </c>
      <c r="N1136">
        <v>146</v>
      </c>
    </row>
    <row r="1137" spans="1:14" x14ac:dyDescent="0.25">
      <c r="A1137" t="s">
        <v>54</v>
      </c>
      <c r="B1137">
        <v>4</v>
      </c>
      <c r="C1137" t="s">
        <v>34</v>
      </c>
      <c r="D1137" t="s">
        <v>62</v>
      </c>
      <c r="E1137" s="2">
        <v>22</v>
      </c>
      <c r="F1137">
        <v>0</v>
      </c>
      <c r="G1137">
        <v>22</v>
      </c>
      <c r="H1137">
        <v>11</v>
      </c>
      <c r="I1137" t="s">
        <v>33</v>
      </c>
      <c r="J1137" s="33" t="s">
        <v>139</v>
      </c>
      <c r="M1137" t="s">
        <v>77</v>
      </c>
      <c r="N1137">
        <v>14</v>
      </c>
    </row>
    <row r="1138" spans="1:14" x14ac:dyDescent="0.25">
      <c r="A1138" t="s">
        <v>63</v>
      </c>
      <c r="B1138">
        <v>5</v>
      </c>
      <c r="C1138" t="s">
        <v>34</v>
      </c>
      <c r="D1138" t="s">
        <v>65</v>
      </c>
      <c r="E1138" s="2">
        <v>22</v>
      </c>
      <c r="F1138">
        <v>0</v>
      </c>
      <c r="G1138">
        <v>22</v>
      </c>
      <c r="H1138">
        <v>0.7</v>
      </c>
      <c r="I1138" t="s">
        <v>32</v>
      </c>
      <c r="J1138" s="33" t="s">
        <v>139</v>
      </c>
      <c r="M1138" t="s">
        <v>77</v>
      </c>
      <c r="N1138">
        <v>10</v>
      </c>
    </row>
    <row r="1139" spans="1:14" x14ac:dyDescent="0.25">
      <c r="A1139" t="s">
        <v>63</v>
      </c>
      <c r="B1139">
        <v>1</v>
      </c>
      <c r="C1139" t="s">
        <v>34</v>
      </c>
      <c r="D1139" t="s">
        <v>67</v>
      </c>
      <c r="E1139" s="2">
        <v>22</v>
      </c>
      <c r="F1139">
        <v>18</v>
      </c>
      <c r="G1139">
        <v>4</v>
      </c>
      <c r="H1139">
        <v>0</v>
      </c>
      <c r="I1139" t="s">
        <v>32</v>
      </c>
      <c r="J1139" s="33" t="s">
        <v>139</v>
      </c>
      <c r="M1139" t="s">
        <v>77</v>
      </c>
      <c r="N1139">
        <v>0</v>
      </c>
    </row>
    <row r="1140" spans="1:14" x14ac:dyDescent="0.25">
      <c r="A1140" t="s">
        <v>71</v>
      </c>
      <c r="B1140">
        <v>10</v>
      </c>
      <c r="C1140" t="s">
        <v>34</v>
      </c>
      <c r="D1140" t="s">
        <v>75</v>
      </c>
      <c r="E1140" s="2">
        <v>22</v>
      </c>
      <c r="F1140">
        <v>22</v>
      </c>
      <c r="G1140">
        <v>0</v>
      </c>
      <c r="H1140">
        <v>0</v>
      </c>
      <c r="I1140" t="s">
        <v>32</v>
      </c>
      <c r="J1140" s="33" t="s">
        <v>139</v>
      </c>
      <c r="M1140" t="s">
        <v>77</v>
      </c>
      <c r="N1140">
        <v>0</v>
      </c>
    </row>
    <row r="1141" spans="1:14" x14ac:dyDescent="0.25">
      <c r="A1141" t="s">
        <v>29</v>
      </c>
      <c r="B1141">
        <v>1</v>
      </c>
      <c r="C1141" t="s">
        <v>30</v>
      </c>
      <c r="D1141" t="s">
        <v>31</v>
      </c>
      <c r="E1141" s="2">
        <v>23</v>
      </c>
      <c r="F1141">
        <v>0</v>
      </c>
      <c r="G1141">
        <v>23</v>
      </c>
      <c r="H1141">
        <v>9.6</v>
      </c>
      <c r="I1141" t="s">
        <v>33</v>
      </c>
      <c r="J1141" s="33" t="s">
        <v>139</v>
      </c>
      <c r="M1141" t="s">
        <v>77</v>
      </c>
      <c r="N1141">
        <v>133</v>
      </c>
    </row>
    <row r="1142" spans="1:14" x14ac:dyDescent="0.25">
      <c r="A1142" t="s">
        <v>29</v>
      </c>
      <c r="B1142">
        <v>1</v>
      </c>
      <c r="C1142" t="s">
        <v>30</v>
      </c>
      <c r="D1142" t="s">
        <v>31</v>
      </c>
      <c r="E1142" s="2">
        <v>23</v>
      </c>
      <c r="F1142">
        <v>0</v>
      </c>
      <c r="G1142">
        <v>23</v>
      </c>
      <c r="H1142">
        <v>2.2000000000000002</v>
      </c>
      <c r="I1142" t="s">
        <v>33</v>
      </c>
      <c r="J1142" s="33" t="s">
        <v>139</v>
      </c>
      <c r="M1142" t="s">
        <v>77</v>
      </c>
      <c r="N1142">
        <v>61</v>
      </c>
    </row>
    <row r="1143" spans="1:14" x14ac:dyDescent="0.25">
      <c r="A1143" t="s">
        <v>29</v>
      </c>
      <c r="B1143">
        <v>1</v>
      </c>
      <c r="C1143" t="s">
        <v>34</v>
      </c>
      <c r="D1143" t="s">
        <v>35</v>
      </c>
      <c r="E1143" s="2">
        <v>23</v>
      </c>
      <c r="F1143">
        <v>0</v>
      </c>
      <c r="G1143">
        <v>23</v>
      </c>
      <c r="H1143">
        <v>7.9</v>
      </c>
      <c r="I1143" t="s">
        <v>33</v>
      </c>
      <c r="J1143" s="33" t="s">
        <v>139</v>
      </c>
      <c r="M1143" t="s">
        <v>77</v>
      </c>
      <c r="N1143">
        <v>0</v>
      </c>
    </row>
    <row r="1144" spans="1:14" x14ac:dyDescent="0.25">
      <c r="A1144" t="s">
        <v>29</v>
      </c>
      <c r="B1144">
        <v>1</v>
      </c>
      <c r="C1144" t="s">
        <v>34</v>
      </c>
      <c r="D1144" t="s">
        <v>35</v>
      </c>
      <c r="E1144" s="2">
        <v>23</v>
      </c>
      <c r="F1144">
        <v>0</v>
      </c>
      <c r="G1144">
        <v>23</v>
      </c>
      <c r="H1144">
        <v>8.4</v>
      </c>
      <c r="I1144" t="s">
        <v>33</v>
      </c>
      <c r="J1144" s="33" t="s">
        <v>139</v>
      </c>
      <c r="M1144" t="s">
        <v>77</v>
      </c>
      <c r="N1144">
        <v>0</v>
      </c>
    </row>
    <row r="1145" spans="1:14" x14ac:dyDescent="0.25">
      <c r="A1145" t="s">
        <v>29</v>
      </c>
      <c r="B1145">
        <v>1</v>
      </c>
      <c r="C1145" t="s">
        <v>34</v>
      </c>
      <c r="D1145" t="s">
        <v>35</v>
      </c>
      <c r="E1145" s="2">
        <v>23</v>
      </c>
      <c r="F1145">
        <v>0</v>
      </c>
      <c r="G1145">
        <v>23</v>
      </c>
      <c r="H1145">
        <v>1.3</v>
      </c>
      <c r="I1145" t="s">
        <v>33</v>
      </c>
      <c r="J1145" s="33" t="s">
        <v>139</v>
      </c>
      <c r="M1145" t="s">
        <v>77</v>
      </c>
      <c r="N1145">
        <v>0</v>
      </c>
    </row>
    <row r="1146" spans="1:14" x14ac:dyDescent="0.25">
      <c r="A1146" t="s">
        <v>29</v>
      </c>
      <c r="B1146">
        <v>1</v>
      </c>
      <c r="C1146" t="s">
        <v>34</v>
      </c>
      <c r="D1146" t="s">
        <v>35</v>
      </c>
      <c r="E1146" s="2">
        <v>23</v>
      </c>
      <c r="F1146">
        <v>0</v>
      </c>
      <c r="G1146">
        <v>23</v>
      </c>
      <c r="H1146">
        <v>9.1</v>
      </c>
      <c r="I1146" t="s">
        <v>33</v>
      </c>
      <c r="J1146" s="33" t="s">
        <v>139</v>
      </c>
      <c r="M1146" t="s">
        <v>77</v>
      </c>
      <c r="N1146">
        <v>10</v>
      </c>
    </row>
    <row r="1147" spans="1:14" x14ac:dyDescent="0.25">
      <c r="A1147" t="s">
        <v>29</v>
      </c>
      <c r="B1147">
        <v>3</v>
      </c>
      <c r="C1147" t="s">
        <v>30</v>
      </c>
      <c r="D1147" t="s">
        <v>38</v>
      </c>
      <c r="E1147" s="2">
        <v>23</v>
      </c>
      <c r="F1147">
        <v>20</v>
      </c>
      <c r="G1147">
        <v>3</v>
      </c>
      <c r="H1147">
        <v>0</v>
      </c>
      <c r="I1147" t="s">
        <v>32</v>
      </c>
      <c r="J1147" s="33" t="s">
        <v>139</v>
      </c>
      <c r="M1147" t="s">
        <v>77</v>
      </c>
      <c r="N1147">
        <v>130</v>
      </c>
    </row>
    <row r="1148" spans="1:14" x14ac:dyDescent="0.25">
      <c r="A1148" t="s">
        <v>29</v>
      </c>
      <c r="B1148">
        <v>3</v>
      </c>
      <c r="C1148" t="s">
        <v>34</v>
      </c>
      <c r="D1148" t="s">
        <v>39</v>
      </c>
      <c r="E1148" s="2">
        <v>23</v>
      </c>
      <c r="F1148">
        <v>0</v>
      </c>
      <c r="G1148">
        <v>23</v>
      </c>
      <c r="H1148">
        <v>9.6999999999999993</v>
      </c>
      <c r="I1148" t="s">
        <v>33</v>
      </c>
      <c r="J1148" s="33" t="s">
        <v>139</v>
      </c>
      <c r="M1148" t="s">
        <v>77</v>
      </c>
      <c r="N1148">
        <v>14</v>
      </c>
    </row>
    <row r="1149" spans="1:14" x14ac:dyDescent="0.25">
      <c r="A1149" t="s">
        <v>29</v>
      </c>
      <c r="B1149">
        <v>3</v>
      </c>
      <c r="C1149" t="s">
        <v>34</v>
      </c>
      <c r="D1149" t="s">
        <v>39</v>
      </c>
      <c r="E1149" s="2">
        <v>23</v>
      </c>
      <c r="F1149">
        <v>0</v>
      </c>
      <c r="G1149">
        <v>23</v>
      </c>
      <c r="H1149">
        <v>7.1</v>
      </c>
      <c r="I1149" t="s">
        <v>33</v>
      </c>
      <c r="J1149" s="33" t="s">
        <v>139</v>
      </c>
      <c r="M1149" t="s">
        <v>77</v>
      </c>
      <c r="N1149">
        <v>9</v>
      </c>
    </row>
    <row r="1150" spans="1:14" x14ac:dyDescent="0.25">
      <c r="A1150" t="s">
        <v>54</v>
      </c>
      <c r="B1150">
        <v>4</v>
      </c>
      <c r="C1150" t="s">
        <v>34</v>
      </c>
      <c r="D1150" t="s">
        <v>62</v>
      </c>
      <c r="E1150" s="2">
        <v>23</v>
      </c>
      <c r="F1150">
        <v>0</v>
      </c>
      <c r="G1150">
        <v>23</v>
      </c>
      <c r="H1150">
        <v>8.8000000000000007</v>
      </c>
      <c r="I1150" t="s">
        <v>33</v>
      </c>
      <c r="J1150" s="33" t="s">
        <v>139</v>
      </c>
      <c r="M1150" t="s">
        <v>77</v>
      </c>
      <c r="N1150">
        <v>25</v>
      </c>
    </row>
    <row r="1151" spans="1:14" x14ac:dyDescent="0.25">
      <c r="A1151" t="s">
        <v>63</v>
      </c>
      <c r="B1151">
        <v>1</v>
      </c>
      <c r="C1151" t="s">
        <v>34</v>
      </c>
      <c r="D1151" t="s">
        <v>67</v>
      </c>
      <c r="E1151" s="2">
        <v>23</v>
      </c>
      <c r="F1151">
        <v>0</v>
      </c>
      <c r="G1151">
        <v>23</v>
      </c>
      <c r="H1151">
        <v>12.4</v>
      </c>
      <c r="I1151" t="s">
        <v>33</v>
      </c>
      <c r="J1151" s="33" t="s">
        <v>139</v>
      </c>
      <c r="M1151" t="s">
        <v>77</v>
      </c>
      <c r="N1151">
        <v>14</v>
      </c>
    </row>
    <row r="1152" spans="1:14" x14ac:dyDescent="0.25">
      <c r="A1152" t="s">
        <v>29</v>
      </c>
      <c r="B1152">
        <v>1</v>
      </c>
      <c r="C1152" t="s">
        <v>34</v>
      </c>
      <c r="D1152" t="s">
        <v>35</v>
      </c>
      <c r="E1152" s="2">
        <v>24</v>
      </c>
      <c r="F1152">
        <v>24</v>
      </c>
      <c r="G1152">
        <v>0</v>
      </c>
      <c r="H1152">
        <v>0</v>
      </c>
      <c r="I1152" t="s">
        <v>32</v>
      </c>
      <c r="J1152" s="33" t="s">
        <v>139</v>
      </c>
      <c r="M1152" t="s">
        <v>77</v>
      </c>
      <c r="N1152">
        <v>25</v>
      </c>
    </row>
    <row r="1153" spans="1:14" x14ac:dyDescent="0.25">
      <c r="A1153" t="s">
        <v>29</v>
      </c>
      <c r="B1153">
        <v>1</v>
      </c>
      <c r="C1153" t="s">
        <v>34</v>
      </c>
      <c r="D1153" t="s">
        <v>35</v>
      </c>
      <c r="E1153" s="2">
        <v>24</v>
      </c>
      <c r="F1153">
        <v>20</v>
      </c>
      <c r="G1153">
        <v>4</v>
      </c>
      <c r="H1153">
        <v>0</v>
      </c>
      <c r="I1153" t="s">
        <v>32</v>
      </c>
      <c r="J1153" s="33" t="s">
        <v>139</v>
      </c>
      <c r="M1153" t="s">
        <v>77</v>
      </c>
      <c r="N1153">
        <v>12</v>
      </c>
    </row>
    <row r="1154" spans="1:14" x14ac:dyDescent="0.25">
      <c r="A1154" t="s">
        <v>29</v>
      </c>
      <c r="B1154">
        <v>1</v>
      </c>
      <c r="C1154" t="s">
        <v>34</v>
      </c>
      <c r="D1154" t="s">
        <v>35</v>
      </c>
      <c r="E1154" s="2">
        <v>24</v>
      </c>
      <c r="F1154">
        <v>0</v>
      </c>
      <c r="G1154">
        <v>24</v>
      </c>
      <c r="H1154">
        <v>1.1000000000000001</v>
      </c>
      <c r="I1154" t="s">
        <v>33</v>
      </c>
      <c r="J1154" s="33" t="s">
        <v>139</v>
      </c>
      <c r="M1154" t="s">
        <v>77</v>
      </c>
      <c r="N1154">
        <v>16</v>
      </c>
    </row>
    <row r="1155" spans="1:14" x14ac:dyDescent="0.25">
      <c r="A1155" t="s">
        <v>29</v>
      </c>
      <c r="B1155">
        <v>2</v>
      </c>
      <c r="C1155" t="s">
        <v>30</v>
      </c>
      <c r="D1155" t="s">
        <v>36</v>
      </c>
      <c r="E1155" s="2">
        <v>24</v>
      </c>
      <c r="F1155">
        <v>24</v>
      </c>
      <c r="G1155">
        <v>0</v>
      </c>
      <c r="H1155">
        <v>0</v>
      </c>
      <c r="I1155" t="s">
        <v>32</v>
      </c>
      <c r="J1155" s="33" t="s">
        <v>139</v>
      </c>
      <c r="M1155" t="s">
        <v>77</v>
      </c>
      <c r="N1155">
        <v>146</v>
      </c>
    </row>
    <row r="1156" spans="1:14" x14ac:dyDescent="0.25">
      <c r="A1156" t="s">
        <v>29</v>
      </c>
      <c r="B1156">
        <v>2</v>
      </c>
      <c r="C1156" t="s">
        <v>30</v>
      </c>
      <c r="D1156" t="s">
        <v>36</v>
      </c>
      <c r="E1156" s="2">
        <v>24</v>
      </c>
      <c r="F1156">
        <v>22</v>
      </c>
      <c r="G1156">
        <v>2</v>
      </c>
      <c r="H1156">
        <v>0</v>
      </c>
      <c r="I1156" t="s">
        <v>32</v>
      </c>
      <c r="J1156" s="33" t="s">
        <v>139</v>
      </c>
      <c r="M1156" t="s">
        <v>77</v>
      </c>
      <c r="N1156">
        <v>0</v>
      </c>
    </row>
    <row r="1157" spans="1:14" x14ac:dyDescent="0.25">
      <c r="A1157" t="s">
        <v>29</v>
      </c>
      <c r="B1157">
        <v>2</v>
      </c>
      <c r="C1157" t="s">
        <v>34</v>
      </c>
      <c r="D1157" t="s">
        <v>37</v>
      </c>
      <c r="E1157" s="2">
        <v>24</v>
      </c>
      <c r="F1157">
        <v>0</v>
      </c>
      <c r="G1157">
        <v>24</v>
      </c>
      <c r="H1157">
        <v>12</v>
      </c>
      <c r="I1157" t="s">
        <v>33</v>
      </c>
      <c r="J1157" s="33" t="s">
        <v>139</v>
      </c>
      <c r="M1157" t="s">
        <v>77</v>
      </c>
      <c r="N1157">
        <v>170</v>
      </c>
    </row>
    <row r="1158" spans="1:14" x14ac:dyDescent="0.25">
      <c r="A1158" t="s">
        <v>29</v>
      </c>
      <c r="B1158">
        <v>2</v>
      </c>
      <c r="C1158" t="s">
        <v>34</v>
      </c>
      <c r="D1158" t="s">
        <v>37</v>
      </c>
      <c r="E1158" s="2">
        <v>24</v>
      </c>
      <c r="F1158">
        <v>0</v>
      </c>
      <c r="G1158">
        <v>24</v>
      </c>
      <c r="H1158">
        <v>12</v>
      </c>
      <c r="I1158" t="s">
        <v>33</v>
      </c>
      <c r="J1158" s="33" t="s">
        <v>139</v>
      </c>
      <c r="M1158" t="s">
        <v>77</v>
      </c>
      <c r="N1158">
        <v>6</v>
      </c>
    </row>
    <row r="1159" spans="1:14" x14ac:dyDescent="0.25">
      <c r="A1159" t="s">
        <v>29</v>
      </c>
      <c r="B1159">
        <v>3</v>
      </c>
      <c r="C1159" t="s">
        <v>34</v>
      </c>
      <c r="D1159" t="s">
        <v>39</v>
      </c>
      <c r="E1159" s="2">
        <v>24</v>
      </c>
      <c r="F1159">
        <v>0</v>
      </c>
      <c r="G1159">
        <v>24</v>
      </c>
      <c r="H1159">
        <v>7.1</v>
      </c>
      <c r="I1159" t="s">
        <v>33</v>
      </c>
      <c r="J1159" s="33" t="s">
        <v>139</v>
      </c>
      <c r="M1159" t="s">
        <v>77</v>
      </c>
      <c r="N1159">
        <v>47</v>
      </c>
    </row>
    <row r="1160" spans="1:14" x14ac:dyDescent="0.25">
      <c r="A1160" t="s">
        <v>29</v>
      </c>
      <c r="B1160">
        <v>3</v>
      </c>
      <c r="C1160" t="s">
        <v>34</v>
      </c>
      <c r="D1160" t="s">
        <v>39</v>
      </c>
      <c r="E1160" s="2">
        <v>24</v>
      </c>
      <c r="F1160">
        <v>0</v>
      </c>
      <c r="G1160">
        <v>24</v>
      </c>
      <c r="H1160">
        <v>4.4000000000000004</v>
      </c>
      <c r="I1160" t="s">
        <v>33</v>
      </c>
      <c r="J1160" s="33" t="s">
        <v>139</v>
      </c>
      <c r="M1160" t="s">
        <v>77</v>
      </c>
      <c r="N1160">
        <v>48</v>
      </c>
    </row>
    <row r="1161" spans="1:14" x14ac:dyDescent="0.25">
      <c r="A1161" t="s">
        <v>42</v>
      </c>
      <c r="B1161">
        <v>3</v>
      </c>
      <c r="C1161" t="s">
        <v>30</v>
      </c>
      <c r="D1161" t="s">
        <v>49</v>
      </c>
      <c r="E1161" s="2">
        <v>24</v>
      </c>
      <c r="F1161">
        <v>14</v>
      </c>
      <c r="G1161">
        <v>10</v>
      </c>
      <c r="H1161">
        <v>0</v>
      </c>
      <c r="I1161" t="s">
        <v>32</v>
      </c>
      <c r="J1161" s="33" t="s">
        <v>139</v>
      </c>
      <c r="M1161" t="s">
        <v>77</v>
      </c>
      <c r="N1161">
        <v>58</v>
      </c>
    </row>
    <row r="1162" spans="1:14" x14ac:dyDescent="0.25">
      <c r="A1162" t="s">
        <v>54</v>
      </c>
      <c r="B1162">
        <v>4</v>
      </c>
      <c r="C1162" t="s">
        <v>30</v>
      </c>
      <c r="D1162" t="s">
        <v>61</v>
      </c>
      <c r="E1162" s="2">
        <v>24</v>
      </c>
      <c r="F1162">
        <v>0</v>
      </c>
      <c r="G1162">
        <v>24</v>
      </c>
      <c r="H1162">
        <v>14</v>
      </c>
      <c r="I1162" t="s">
        <v>33</v>
      </c>
      <c r="J1162" s="33" t="s">
        <v>139</v>
      </c>
      <c r="M1162" t="s">
        <v>77</v>
      </c>
      <c r="N1162">
        <v>21</v>
      </c>
    </row>
    <row r="1163" spans="1:14" x14ac:dyDescent="0.25">
      <c r="A1163" t="s">
        <v>68</v>
      </c>
      <c r="B1163">
        <v>6</v>
      </c>
      <c r="C1163" t="s">
        <v>34</v>
      </c>
      <c r="D1163" t="s">
        <v>70</v>
      </c>
      <c r="E1163" s="2">
        <v>24</v>
      </c>
      <c r="F1163">
        <v>0</v>
      </c>
      <c r="G1163">
        <v>24</v>
      </c>
      <c r="H1163">
        <v>11.4</v>
      </c>
      <c r="I1163" t="s">
        <v>33</v>
      </c>
      <c r="J1163" s="33" t="s">
        <v>139</v>
      </c>
      <c r="M1163" t="s">
        <v>77</v>
      </c>
      <c r="N1163">
        <v>15</v>
      </c>
    </row>
    <row r="1164" spans="1:14" x14ac:dyDescent="0.25">
      <c r="A1164" t="s">
        <v>71</v>
      </c>
      <c r="B1164">
        <v>11</v>
      </c>
      <c r="C1164" t="s">
        <v>30</v>
      </c>
      <c r="D1164" t="s">
        <v>76</v>
      </c>
      <c r="E1164" s="2">
        <v>24</v>
      </c>
      <c r="F1164">
        <v>0</v>
      </c>
      <c r="G1164">
        <v>24</v>
      </c>
      <c r="H1164">
        <v>12.7</v>
      </c>
      <c r="I1164" t="s">
        <v>33</v>
      </c>
      <c r="J1164" s="33" t="s">
        <v>139</v>
      </c>
      <c r="M1164" t="s">
        <v>77</v>
      </c>
      <c r="N1164">
        <v>162</v>
      </c>
    </row>
    <row r="1165" spans="1:14" x14ac:dyDescent="0.25">
      <c r="A1165" t="s">
        <v>71</v>
      </c>
      <c r="B1165">
        <v>11</v>
      </c>
      <c r="C1165" t="s">
        <v>34</v>
      </c>
      <c r="D1165" t="s">
        <v>77</v>
      </c>
      <c r="E1165" s="2">
        <v>24</v>
      </c>
      <c r="F1165">
        <v>24</v>
      </c>
      <c r="G1165">
        <v>0</v>
      </c>
      <c r="H1165">
        <v>0</v>
      </c>
      <c r="I1165" t="s">
        <v>32</v>
      </c>
      <c r="J1165" s="33" t="s">
        <v>139</v>
      </c>
      <c r="M1165" t="s">
        <v>77</v>
      </c>
      <c r="N1165">
        <v>76</v>
      </c>
    </row>
    <row r="1166" spans="1:14" x14ac:dyDescent="0.25">
      <c r="A1166" t="s">
        <v>71</v>
      </c>
      <c r="B1166">
        <v>11</v>
      </c>
      <c r="C1166" t="s">
        <v>34</v>
      </c>
      <c r="D1166" t="s">
        <v>77</v>
      </c>
      <c r="E1166" s="2">
        <v>24</v>
      </c>
      <c r="F1166">
        <v>0</v>
      </c>
      <c r="G1166">
        <v>24</v>
      </c>
      <c r="H1166">
        <v>16.100000000000001</v>
      </c>
      <c r="I1166" t="s">
        <v>33</v>
      </c>
      <c r="J1166" s="33" t="s">
        <v>139</v>
      </c>
      <c r="M1166" t="s">
        <v>77</v>
      </c>
      <c r="N1166">
        <v>102</v>
      </c>
    </row>
    <row r="1167" spans="1:14" x14ac:dyDescent="0.25">
      <c r="A1167" t="s">
        <v>29</v>
      </c>
      <c r="B1167">
        <v>3</v>
      </c>
      <c r="C1167" t="s">
        <v>34</v>
      </c>
      <c r="D1167" t="s">
        <v>39</v>
      </c>
      <c r="E1167" s="2">
        <v>25</v>
      </c>
      <c r="F1167">
        <v>0</v>
      </c>
      <c r="G1167">
        <v>25</v>
      </c>
      <c r="H1167">
        <v>7.8</v>
      </c>
      <c r="I1167" t="s">
        <v>33</v>
      </c>
      <c r="J1167" s="33" t="s">
        <v>139</v>
      </c>
      <c r="M1167" t="s">
        <v>77</v>
      </c>
      <c r="N1167">
        <v>87</v>
      </c>
    </row>
    <row r="1168" spans="1:14" x14ac:dyDescent="0.25">
      <c r="A1168" t="s">
        <v>29</v>
      </c>
      <c r="B1168">
        <v>4</v>
      </c>
      <c r="C1168" t="s">
        <v>34</v>
      </c>
      <c r="D1168" t="s">
        <v>41</v>
      </c>
      <c r="E1168" s="2">
        <v>25</v>
      </c>
      <c r="F1168">
        <v>17</v>
      </c>
      <c r="G1168">
        <v>8</v>
      </c>
      <c r="H1168">
        <v>0</v>
      </c>
      <c r="I1168" t="s">
        <v>32</v>
      </c>
      <c r="J1168" s="33" t="s">
        <v>139</v>
      </c>
      <c r="M1168" t="s">
        <v>77</v>
      </c>
      <c r="N1168">
        <v>4</v>
      </c>
    </row>
    <row r="1169" spans="1:14" x14ac:dyDescent="0.25">
      <c r="A1169" t="s">
        <v>42</v>
      </c>
      <c r="B1169">
        <v>1</v>
      </c>
      <c r="C1169" t="s">
        <v>34</v>
      </c>
      <c r="D1169" t="s">
        <v>44</v>
      </c>
      <c r="E1169" s="2">
        <v>25</v>
      </c>
      <c r="F1169">
        <v>0</v>
      </c>
      <c r="G1169">
        <v>25</v>
      </c>
      <c r="H1169">
        <v>7.7</v>
      </c>
      <c r="I1169" t="s">
        <v>33</v>
      </c>
      <c r="J1169" s="33" t="s">
        <v>139</v>
      </c>
      <c r="M1169" t="s">
        <v>77</v>
      </c>
      <c r="N1169">
        <v>46</v>
      </c>
    </row>
    <row r="1170" spans="1:14" x14ac:dyDescent="0.25">
      <c r="A1170" t="s">
        <v>42</v>
      </c>
      <c r="B1170">
        <v>2</v>
      </c>
      <c r="C1170" t="s">
        <v>30</v>
      </c>
      <c r="D1170" t="s">
        <v>45</v>
      </c>
      <c r="E1170" s="2">
        <v>25</v>
      </c>
      <c r="F1170">
        <v>0</v>
      </c>
      <c r="G1170">
        <v>25</v>
      </c>
      <c r="H1170">
        <v>9.5</v>
      </c>
      <c r="I1170" t="s">
        <v>33</v>
      </c>
      <c r="J1170" s="33" t="s">
        <v>139</v>
      </c>
      <c r="M1170" t="s">
        <v>77</v>
      </c>
      <c r="N1170">
        <v>150</v>
      </c>
    </row>
    <row r="1171" spans="1:14" x14ac:dyDescent="0.25">
      <c r="A1171" t="s">
        <v>42</v>
      </c>
      <c r="B1171">
        <v>2</v>
      </c>
      <c r="C1171" t="s">
        <v>30</v>
      </c>
      <c r="D1171" t="s">
        <v>45</v>
      </c>
      <c r="E1171" s="2">
        <v>25</v>
      </c>
      <c r="F1171">
        <v>4</v>
      </c>
      <c r="G1171">
        <v>21</v>
      </c>
      <c r="H1171">
        <v>6</v>
      </c>
      <c r="I1171" t="s">
        <v>33</v>
      </c>
      <c r="J1171" s="33" t="s">
        <v>139</v>
      </c>
    </row>
    <row r="1172" spans="1:14" x14ac:dyDescent="0.25">
      <c r="A1172" t="s">
        <v>42</v>
      </c>
      <c r="B1172">
        <v>3</v>
      </c>
      <c r="C1172" t="s">
        <v>30</v>
      </c>
      <c r="D1172" t="s">
        <v>49</v>
      </c>
      <c r="E1172" s="2">
        <v>25</v>
      </c>
      <c r="F1172">
        <v>0</v>
      </c>
      <c r="G1172">
        <v>25</v>
      </c>
      <c r="H1172">
        <v>4</v>
      </c>
      <c r="I1172" t="s">
        <v>33</v>
      </c>
      <c r="J1172" s="33" t="s">
        <v>139</v>
      </c>
    </row>
    <row r="1173" spans="1:14" x14ac:dyDescent="0.25">
      <c r="A1173" t="s">
        <v>42</v>
      </c>
      <c r="B1173">
        <v>4</v>
      </c>
      <c r="C1173" t="s">
        <v>30</v>
      </c>
      <c r="D1173" t="s">
        <v>51</v>
      </c>
      <c r="E1173" s="2">
        <v>25</v>
      </c>
      <c r="F1173">
        <v>0</v>
      </c>
      <c r="G1173">
        <v>25</v>
      </c>
      <c r="H1173">
        <v>11.5</v>
      </c>
      <c r="I1173" t="s">
        <v>33</v>
      </c>
      <c r="J1173" s="33" t="s">
        <v>139</v>
      </c>
    </row>
    <row r="1174" spans="1:14" x14ac:dyDescent="0.25">
      <c r="A1174" t="s">
        <v>63</v>
      </c>
      <c r="B1174">
        <v>5</v>
      </c>
      <c r="C1174" t="s">
        <v>34</v>
      </c>
      <c r="D1174" t="s">
        <v>65</v>
      </c>
      <c r="E1174" s="2">
        <v>25</v>
      </c>
      <c r="F1174">
        <v>0</v>
      </c>
      <c r="G1174">
        <v>25</v>
      </c>
      <c r="H1174">
        <v>0.5</v>
      </c>
      <c r="I1174" t="s">
        <v>32</v>
      </c>
      <c r="J1174" s="33" t="s">
        <v>139</v>
      </c>
    </row>
    <row r="1175" spans="1:14" x14ac:dyDescent="0.25">
      <c r="A1175" t="s">
        <v>68</v>
      </c>
      <c r="B1175">
        <v>6</v>
      </c>
      <c r="C1175" t="s">
        <v>34</v>
      </c>
      <c r="D1175" t="s">
        <v>70</v>
      </c>
      <c r="E1175" s="2">
        <v>25</v>
      </c>
      <c r="F1175">
        <v>0</v>
      </c>
      <c r="G1175">
        <v>25</v>
      </c>
      <c r="H1175">
        <v>7</v>
      </c>
      <c r="I1175" t="s">
        <v>33</v>
      </c>
      <c r="J1175" s="33" t="s">
        <v>139</v>
      </c>
    </row>
    <row r="1176" spans="1:14" x14ac:dyDescent="0.25">
      <c r="A1176" t="s">
        <v>71</v>
      </c>
      <c r="B1176">
        <v>11</v>
      </c>
      <c r="C1176" t="s">
        <v>30</v>
      </c>
      <c r="D1176" t="s">
        <v>76</v>
      </c>
      <c r="E1176" s="2">
        <v>25</v>
      </c>
      <c r="F1176">
        <v>18</v>
      </c>
      <c r="G1176">
        <v>7</v>
      </c>
      <c r="H1176">
        <v>0</v>
      </c>
      <c r="I1176" t="s">
        <v>32</v>
      </c>
      <c r="J1176" s="33" t="s">
        <v>139</v>
      </c>
    </row>
    <row r="1177" spans="1:14" x14ac:dyDescent="0.25">
      <c r="A1177" t="s">
        <v>71</v>
      </c>
      <c r="B1177">
        <v>11</v>
      </c>
      <c r="C1177" t="s">
        <v>34</v>
      </c>
      <c r="D1177" t="s">
        <v>77</v>
      </c>
      <c r="E1177" s="2">
        <v>25</v>
      </c>
      <c r="F1177">
        <v>0</v>
      </c>
      <c r="G1177">
        <v>25</v>
      </c>
      <c r="H1177">
        <v>15.4</v>
      </c>
      <c r="I1177" t="s">
        <v>33</v>
      </c>
      <c r="J1177" s="33" t="s">
        <v>139</v>
      </c>
    </row>
    <row r="1178" spans="1:14" x14ac:dyDescent="0.25">
      <c r="A1178" t="s">
        <v>71</v>
      </c>
      <c r="B1178">
        <v>11</v>
      </c>
      <c r="C1178" t="s">
        <v>34</v>
      </c>
      <c r="D1178" t="s">
        <v>77</v>
      </c>
      <c r="E1178" s="2">
        <v>25</v>
      </c>
      <c r="F1178">
        <v>0</v>
      </c>
      <c r="G1178">
        <v>25</v>
      </c>
      <c r="H1178">
        <v>11.7</v>
      </c>
      <c r="I1178" t="s">
        <v>33</v>
      </c>
      <c r="J1178" s="33" t="s">
        <v>139</v>
      </c>
    </row>
    <row r="1179" spans="1:14" x14ac:dyDescent="0.25">
      <c r="A1179" t="s">
        <v>71</v>
      </c>
      <c r="B1179">
        <v>11</v>
      </c>
      <c r="C1179" t="s">
        <v>34</v>
      </c>
      <c r="D1179" t="s">
        <v>77</v>
      </c>
      <c r="E1179" s="2">
        <v>25</v>
      </c>
      <c r="F1179">
        <v>0</v>
      </c>
      <c r="G1179">
        <v>25</v>
      </c>
      <c r="H1179">
        <v>12.5</v>
      </c>
      <c r="I1179" t="s">
        <v>33</v>
      </c>
      <c r="J1179" s="33" t="s">
        <v>139</v>
      </c>
    </row>
    <row r="1180" spans="1:14" x14ac:dyDescent="0.25">
      <c r="A1180" t="s">
        <v>29</v>
      </c>
      <c r="B1180">
        <v>1</v>
      </c>
      <c r="C1180" t="s">
        <v>34</v>
      </c>
      <c r="D1180" t="s">
        <v>35</v>
      </c>
      <c r="E1180" s="2">
        <v>26</v>
      </c>
      <c r="F1180">
        <v>0</v>
      </c>
      <c r="G1180">
        <v>26</v>
      </c>
      <c r="H1180">
        <v>0.5</v>
      </c>
      <c r="I1180" t="s">
        <v>32</v>
      </c>
      <c r="J1180" s="33" t="s">
        <v>139</v>
      </c>
    </row>
    <row r="1181" spans="1:14" x14ac:dyDescent="0.25">
      <c r="A1181" t="s">
        <v>29</v>
      </c>
      <c r="B1181">
        <v>1</v>
      </c>
      <c r="C1181" t="s">
        <v>34</v>
      </c>
      <c r="D1181" t="s">
        <v>35</v>
      </c>
      <c r="E1181" s="2">
        <v>26</v>
      </c>
      <c r="F1181">
        <v>0</v>
      </c>
      <c r="G1181">
        <v>26</v>
      </c>
      <c r="H1181">
        <v>4.5999999999999996</v>
      </c>
      <c r="I1181" t="s">
        <v>33</v>
      </c>
      <c r="J1181" s="33" t="s">
        <v>139</v>
      </c>
    </row>
    <row r="1182" spans="1:14" x14ac:dyDescent="0.25">
      <c r="A1182" t="s">
        <v>29</v>
      </c>
      <c r="B1182">
        <v>1</v>
      </c>
      <c r="C1182" t="s">
        <v>34</v>
      </c>
      <c r="D1182" t="s">
        <v>35</v>
      </c>
      <c r="E1182" s="2">
        <v>26</v>
      </c>
      <c r="F1182">
        <v>0</v>
      </c>
      <c r="G1182">
        <v>26</v>
      </c>
      <c r="H1182">
        <v>6.6</v>
      </c>
      <c r="I1182" t="s">
        <v>33</v>
      </c>
      <c r="J1182" s="33" t="s">
        <v>139</v>
      </c>
    </row>
    <row r="1183" spans="1:14" x14ac:dyDescent="0.25">
      <c r="A1183" t="s">
        <v>29</v>
      </c>
      <c r="B1183">
        <v>3</v>
      </c>
      <c r="C1183" t="s">
        <v>30</v>
      </c>
      <c r="D1183" t="s">
        <v>38</v>
      </c>
      <c r="E1183" s="2">
        <v>26</v>
      </c>
      <c r="F1183">
        <v>21</v>
      </c>
      <c r="G1183">
        <v>5</v>
      </c>
      <c r="H1183">
        <v>0</v>
      </c>
      <c r="I1183" t="s">
        <v>32</v>
      </c>
      <c r="J1183" s="33" t="s">
        <v>139</v>
      </c>
    </row>
    <row r="1184" spans="1:14" x14ac:dyDescent="0.25">
      <c r="A1184" t="s">
        <v>29</v>
      </c>
      <c r="B1184">
        <v>3</v>
      </c>
      <c r="C1184" t="s">
        <v>30</v>
      </c>
      <c r="D1184" t="s">
        <v>38</v>
      </c>
      <c r="E1184" s="2">
        <v>26</v>
      </c>
      <c r="F1184">
        <v>0</v>
      </c>
      <c r="G1184">
        <v>26</v>
      </c>
      <c r="H1184">
        <v>4.7</v>
      </c>
      <c r="I1184" t="s">
        <v>33</v>
      </c>
      <c r="J1184" s="33" t="s">
        <v>139</v>
      </c>
    </row>
    <row r="1185" spans="1:10" x14ac:dyDescent="0.25">
      <c r="A1185" t="s">
        <v>29</v>
      </c>
      <c r="B1185">
        <v>4</v>
      </c>
      <c r="C1185" t="s">
        <v>30</v>
      </c>
      <c r="D1185" t="s">
        <v>40</v>
      </c>
      <c r="E1185" s="2">
        <v>26</v>
      </c>
      <c r="F1185">
        <v>0</v>
      </c>
      <c r="G1185">
        <v>26</v>
      </c>
      <c r="H1185">
        <v>8.6999999999999993</v>
      </c>
      <c r="I1185" t="s">
        <v>33</v>
      </c>
      <c r="J1185" s="33" t="s">
        <v>139</v>
      </c>
    </row>
    <row r="1186" spans="1:10" x14ac:dyDescent="0.25">
      <c r="A1186" t="s">
        <v>29</v>
      </c>
      <c r="B1186">
        <v>4</v>
      </c>
      <c r="C1186" t="s">
        <v>30</v>
      </c>
      <c r="D1186" t="s">
        <v>40</v>
      </c>
      <c r="E1186" s="2">
        <v>26</v>
      </c>
      <c r="F1186">
        <v>0</v>
      </c>
      <c r="G1186">
        <v>26</v>
      </c>
      <c r="H1186">
        <v>5.9</v>
      </c>
      <c r="I1186" t="s">
        <v>33</v>
      </c>
      <c r="J1186" s="33" t="s">
        <v>139</v>
      </c>
    </row>
    <row r="1187" spans="1:10" x14ac:dyDescent="0.25">
      <c r="A1187" t="s">
        <v>29</v>
      </c>
      <c r="B1187">
        <v>4</v>
      </c>
      <c r="C1187" t="s">
        <v>30</v>
      </c>
      <c r="D1187" t="s">
        <v>40</v>
      </c>
      <c r="E1187" s="2">
        <v>26</v>
      </c>
      <c r="F1187">
        <v>0</v>
      </c>
      <c r="G1187">
        <v>26</v>
      </c>
      <c r="H1187">
        <v>8.3000000000000007</v>
      </c>
      <c r="I1187" t="s">
        <v>33</v>
      </c>
      <c r="J1187" s="33" t="s">
        <v>139</v>
      </c>
    </row>
    <row r="1188" spans="1:10" x14ac:dyDescent="0.25">
      <c r="A1188" t="s">
        <v>42</v>
      </c>
      <c r="B1188">
        <v>3</v>
      </c>
      <c r="C1188" t="s">
        <v>30</v>
      </c>
      <c r="D1188" t="s">
        <v>49</v>
      </c>
      <c r="E1188" s="2">
        <v>26</v>
      </c>
      <c r="F1188">
        <v>0</v>
      </c>
      <c r="G1188">
        <v>26</v>
      </c>
      <c r="H1188">
        <v>8.4</v>
      </c>
      <c r="I1188" t="s">
        <v>33</v>
      </c>
      <c r="J1188" s="33" t="s">
        <v>139</v>
      </c>
    </row>
    <row r="1189" spans="1:10" x14ac:dyDescent="0.25">
      <c r="A1189" t="s">
        <v>52</v>
      </c>
      <c r="B1189">
        <v>4</v>
      </c>
      <c r="C1189" t="s">
        <v>34</v>
      </c>
      <c r="D1189" t="s">
        <v>53</v>
      </c>
      <c r="E1189" s="2">
        <v>26</v>
      </c>
      <c r="F1189">
        <v>0</v>
      </c>
      <c r="G1189">
        <v>26</v>
      </c>
      <c r="H1189">
        <v>9.4</v>
      </c>
      <c r="I1189" t="s">
        <v>33</v>
      </c>
      <c r="J1189" s="33" t="s">
        <v>139</v>
      </c>
    </row>
    <row r="1190" spans="1:10" x14ac:dyDescent="0.25">
      <c r="A1190" t="s">
        <v>54</v>
      </c>
      <c r="B1190">
        <v>1</v>
      </c>
      <c r="C1190" t="s">
        <v>30</v>
      </c>
      <c r="D1190" t="s">
        <v>55</v>
      </c>
      <c r="E1190" s="2">
        <v>26</v>
      </c>
      <c r="F1190">
        <v>20</v>
      </c>
      <c r="G1190">
        <v>6</v>
      </c>
      <c r="H1190">
        <v>0</v>
      </c>
      <c r="I1190" t="s">
        <v>32</v>
      </c>
      <c r="J1190" s="33" t="s">
        <v>139</v>
      </c>
    </row>
    <row r="1191" spans="1:10" x14ac:dyDescent="0.25">
      <c r="A1191" t="s">
        <v>54</v>
      </c>
      <c r="B1191">
        <v>4</v>
      </c>
      <c r="C1191" t="s">
        <v>34</v>
      </c>
      <c r="D1191" t="s">
        <v>62</v>
      </c>
      <c r="E1191" s="2">
        <v>26</v>
      </c>
      <c r="F1191">
        <v>0</v>
      </c>
      <c r="G1191">
        <v>26</v>
      </c>
      <c r="H1191">
        <v>2.6</v>
      </c>
      <c r="I1191" t="s">
        <v>33</v>
      </c>
      <c r="J1191" s="33" t="s">
        <v>139</v>
      </c>
    </row>
    <row r="1192" spans="1:10" x14ac:dyDescent="0.25">
      <c r="A1192" t="s">
        <v>63</v>
      </c>
      <c r="B1192">
        <v>5</v>
      </c>
      <c r="C1192" t="s">
        <v>34</v>
      </c>
      <c r="D1192" t="s">
        <v>65</v>
      </c>
      <c r="E1192" s="2">
        <v>26</v>
      </c>
      <c r="F1192">
        <v>0</v>
      </c>
      <c r="G1192">
        <v>26</v>
      </c>
      <c r="H1192">
        <v>2.7</v>
      </c>
      <c r="I1192" t="s">
        <v>33</v>
      </c>
      <c r="J1192" s="33" t="s">
        <v>139</v>
      </c>
    </row>
    <row r="1193" spans="1:10" x14ac:dyDescent="0.25">
      <c r="A1193" t="s">
        <v>63</v>
      </c>
      <c r="B1193">
        <v>1</v>
      </c>
      <c r="C1193" t="s">
        <v>34</v>
      </c>
      <c r="D1193" t="s">
        <v>67</v>
      </c>
      <c r="E1193" s="2">
        <v>26</v>
      </c>
      <c r="F1193">
        <v>0</v>
      </c>
      <c r="G1193">
        <v>26</v>
      </c>
      <c r="H1193">
        <v>6</v>
      </c>
      <c r="I1193" t="s">
        <v>33</v>
      </c>
      <c r="J1193" s="33" t="s">
        <v>139</v>
      </c>
    </row>
    <row r="1194" spans="1:10" x14ac:dyDescent="0.25">
      <c r="A1194" t="s">
        <v>63</v>
      </c>
      <c r="B1194">
        <v>1</v>
      </c>
      <c r="C1194" t="s">
        <v>34</v>
      </c>
      <c r="D1194" t="s">
        <v>67</v>
      </c>
      <c r="E1194" s="2">
        <v>26</v>
      </c>
      <c r="F1194">
        <v>0</v>
      </c>
      <c r="G1194">
        <v>26</v>
      </c>
      <c r="H1194">
        <v>9.5</v>
      </c>
      <c r="I1194" t="s">
        <v>33</v>
      </c>
      <c r="J1194" s="33" t="s">
        <v>139</v>
      </c>
    </row>
    <row r="1195" spans="1:10" x14ac:dyDescent="0.25">
      <c r="A1195" t="s">
        <v>68</v>
      </c>
      <c r="B1195">
        <v>6</v>
      </c>
      <c r="C1195" t="s">
        <v>34</v>
      </c>
      <c r="D1195" t="s">
        <v>70</v>
      </c>
      <c r="E1195" s="2">
        <v>26</v>
      </c>
      <c r="F1195">
        <v>0</v>
      </c>
      <c r="G1195">
        <v>26</v>
      </c>
      <c r="H1195">
        <v>8.9</v>
      </c>
      <c r="I1195" t="s">
        <v>33</v>
      </c>
      <c r="J1195" s="33" t="s">
        <v>139</v>
      </c>
    </row>
    <row r="1196" spans="1:10" x14ac:dyDescent="0.25">
      <c r="A1196" t="s">
        <v>71</v>
      </c>
      <c r="B1196">
        <v>8</v>
      </c>
      <c r="C1196" t="s">
        <v>34</v>
      </c>
      <c r="D1196" t="s">
        <v>73</v>
      </c>
      <c r="E1196" s="2">
        <v>26</v>
      </c>
      <c r="F1196">
        <v>0</v>
      </c>
      <c r="G1196">
        <v>26</v>
      </c>
      <c r="H1196">
        <v>10</v>
      </c>
      <c r="I1196" t="s">
        <v>33</v>
      </c>
      <c r="J1196" s="33" t="s">
        <v>139</v>
      </c>
    </row>
    <row r="1197" spans="1:10" x14ac:dyDescent="0.25">
      <c r="A1197" t="s">
        <v>29</v>
      </c>
      <c r="B1197">
        <v>2</v>
      </c>
      <c r="C1197" t="s">
        <v>30</v>
      </c>
      <c r="D1197" t="s">
        <v>36</v>
      </c>
      <c r="E1197" s="2">
        <v>27</v>
      </c>
      <c r="F1197">
        <v>0</v>
      </c>
      <c r="G1197">
        <v>27</v>
      </c>
      <c r="H1197">
        <v>20.8</v>
      </c>
      <c r="I1197" t="s">
        <v>33</v>
      </c>
      <c r="J1197" s="33" t="s">
        <v>139</v>
      </c>
    </row>
    <row r="1198" spans="1:10" x14ac:dyDescent="0.25">
      <c r="A1198" t="s">
        <v>29</v>
      </c>
      <c r="B1198">
        <v>2</v>
      </c>
      <c r="C1198" t="s">
        <v>34</v>
      </c>
      <c r="D1198" t="s">
        <v>37</v>
      </c>
      <c r="E1198" s="2">
        <v>27</v>
      </c>
      <c r="F1198">
        <v>0</v>
      </c>
      <c r="G1198">
        <v>27</v>
      </c>
      <c r="H1198">
        <v>10.8</v>
      </c>
      <c r="I1198" t="s">
        <v>33</v>
      </c>
      <c r="J1198" s="33" t="s">
        <v>139</v>
      </c>
    </row>
    <row r="1199" spans="1:10" x14ac:dyDescent="0.25">
      <c r="A1199" t="s">
        <v>29</v>
      </c>
      <c r="B1199">
        <v>3</v>
      </c>
      <c r="C1199" t="s">
        <v>30</v>
      </c>
      <c r="D1199" t="s">
        <v>38</v>
      </c>
      <c r="E1199" s="2">
        <v>27</v>
      </c>
      <c r="F1199">
        <v>0</v>
      </c>
      <c r="G1199">
        <v>27</v>
      </c>
      <c r="H1199">
        <v>7.6</v>
      </c>
      <c r="I1199" t="s">
        <v>33</v>
      </c>
      <c r="J1199" s="33" t="s">
        <v>139</v>
      </c>
    </row>
    <row r="1200" spans="1:10" x14ac:dyDescent="0.25">
      <c r="A1200" t="s">
        <v>29</v>
      </c>
      <c r="B1200">
        <v>3</v>
      </c>
      <c r="C1200" t="s">
        <v>30</v>
      </c>
      <c r="D1200" t="s">
        <v>38</v>
      </c>
      <c r="E1200" s="2">
        <v>27</v>
      </c>
      <c r="F1200">
        <v>0</v>
      </c>
      <c r="G1200">
        <v>27</v>
      </c>
      <c r="H1200">
        <v>4</v>
      </c>
      <c r="I1200" t="s">
        <v>33</v>
      </c>
      <c r="J1200" s="33" t="s">
        <v>139</v>
      </c>
    </row>
    <row r="1201" spans="1:10" x14ac:dyDescent="0.25">
      <c r="A1201" t="s">
        <v>29</v>
      </c>
      <c r="B1201">
        <v>3</v>
      </c>
      <c r="C1201" t="s">
        <v>34</v>
      </c>
      <c r="D1201" t="s">
        <v>39</v>
      </c>
      <c r="E1201" s="2">
        <v>27</v>
      </c>
      <c r="F1201">
        <v>0</v>
      </c>
      <c r="G1201">
        <v>27</v>
      </c>
      <c r="H1201">
        <v>4</v>
      </c>
      <c r="I1201" t="s">
        <v>33</v>
      </c>
      <c r="J1201" s="33" t="s">
        <v>139</v>
      </c>
    </row>
    <row r="1202" spans="1:10" x14ac:dyDescent="0.25">
      <c r="A1202" t="s">
        <v>29</v>
      </c>
      <c r="B1202">
        <v>4</v>
      </c>
      <c r="C1202" t="s">
        <v>34</v>
      </c>
      <c r="D1202" t="s">
        <v>41</v>
      </c>
      <c r="E1202" s="2">
        <v>27</v>
      </c>
      <c r="F1202">
        <v>0</v>
      </c>
      <c r="G1202">
        <v>27</v>
      </c>
      <c r="H1202">
        <v>6.4</v>
      </c>
      <c r="I1202" t="s">
        <v>33</v>
      </c>
      <c r="J1202" s="33" t="s">
        <v>139</v>
      </c>
    </row>
    <row r="1203" spans="1:10" x14ac:dyDescent="0.25">
      <c r="A1203" t="s">
        <v>42</v>
      </c>
      <c r="B1203">
        <v>1</v>
      </c>
      <c r="C1203" t="s">
        <v>34</v>
      </c>
      <c r="D1203" t="s">
        <v>44</v>
      </c>
      <c r="E1203" s="2">
        <v>27</v>
      </c>
      <c r="F1203">
        <v>0</v>
      </c>
      <c r="G1203">
        <v>27</v>
      </c>
      <c r="H1203">
        <v>8.8000000000000007</v>
      </c>
      <c r="I1203" t="s">
        <v>33</v>
      </c>
      <c r="J1203" s="33" t="s">
        <v>139</v>
      </c>
    </row>
    <row r="1204" spans="1:10" x14ac:dyDescent="0.25">
      <c r="A1204" t="s">
        <v>42</v>
      </c>
      <c r="B1204">
        <v>1</v>
      </c>
      <c r="C1204" t="s">
        <v>34</v>
      </c>
      <c r="D1204" t="s">
        <v>44</v>
      </c>
      <c r="E1204" s="2">
        <v>27</v>
      </c>
      <c r="F1204">
        <v>0</v>
      </c>
      <c r="G1204">
        <v>27</v>
      </c>
      <c r="H1204">
        <v>4.2</v>
      </c>
      <c r="I1204" t="s">
        <v>33</v>
      </c>
      <c r="J1204" s="33" t="s">
        <v>139</v>
      </c>
    </row>
    <row r="1205" spans="1:10" x14ac:dyDescent="0.25">
      <c r="A1205" t="s">
        <v>42</v>
      </c>
      <c r="B1205">
        <v>5</v>
      </c>
      <c r="C1205" t="s">
        <v>30</v>
      </c>
      <c r="D1205" t="s">
        <v>47</v>
      </c>
      <c r="E1205" s="2">
        <v>27</v>
      </c>
      <c r="F1205">
        <v>0</v>
      </c>
      <c r="G1205">
        <v>27</v>
      </c>
      <c r="H1205">
        <v>3</v>
      </c>
      <c r="I1205" t="s">
        <v>33</v>
      </c>
      <c r="J1205" s="33" t="s">
        <v>139</v>
      </c>
    </row>
    <row r="1206" spans="1:10" x14ac:dyDescent="0.25">
      <c r="A1206" t="s">
        <v>42</v>
      </c>
      <c r="B1206">
        <v>5</v>
      </c>
      <c r="C1206" t="s">
        <v>34</v>
      </c>
      <c r="D1206" t="s">
        <v>48</v>
      </c>
      <c r="E1206" s="2">
        <v>27</v>
      </c>
      <c r="F1206">
        <v>0</v>
      </c>
      <c r="G1206">
        <v>27</v>
      </c>
      <c r="H1206">
        <v>17</v>
      </c>
      <c r="I1206" t="s">
        <v>33</v>
      </c>
      <c r="J1206" s="33" t="s">
        <v>139</v>
      </c>
    </row>
    <row r="1207" spans="1:10" x14ac:dyDescent="0.25">
      <c r="A1207" t="s">
        <v>63</v>
      </c>
      <c r="B1207">
        <v>5</v>
      </c>
      <c r="C1207" t="s">
        <v>34</v>
      </c>
      <c r="D1207" t="s">
        <v>65</v>
      </c>
      <c r="E1207" s="2">
        <v>27</v>
      </c>
      <c r="F1207">
        <v>23</v>
      </c>
      <c r="G1207">
        <v>4</v>
      </c>
      <c r="H1207">
        <v>0</v>
      </c>
      <c r="I1207" t="s">
        <v>32</v>
      </c>
      <c r="J1207" s="33" t="s">
        <v>139</v>
      </c>
    </row>
    <row r="1208" spans="1:10" x14ac:dyDescent="0.25">
      <c r="A1208" t="s">
        <v>63</v>
      </c>
      <c r="B1208">
        <v>5</v>
      </c>
      <c r="C1208" t="s">
        <v>34</v>
      </c>
      <c r="D1208" t="s">
        <v>65</v>
      </c>
      <c r="E1208" s="2">
        <v>27</v>
      </c>
      <c r="F1208">
        <v>0</v>
      </c>
      <c r="G1208">
        <v>27</v>
      </c>
      <c r="H1208">
        <v>1.8</v>
      </c>
      <c r="I1208" t="s">
        <v>33</v>
      </c>
      <c r="J1208" s="33" t="s">
        <v>139</v>
      </c>
    </row>
    <row r="1209" spans="1:10" x14ac:dyDescent="0.25">
      <c r="A1209" t="s">
        <v>63</v>
      </c>
      <c r="B1209">
        <v>5</v>
      </c>
      <c r="C1209" t="s">
        <v>34</v>
      </c>
      <c r="D1209" t="s">
        <v>65</v>
      </c>
      <c r="E1209" s="2">
        <v>27</v>
      </c>
      <c r="F1209">
        <v>0</v>
      </c>
      <c r="G1209">
        <v>27</v>
      </c>
      <c r="H1209">
        <v>0.5</v>
      </c>
      <c r="I1209" t="s">
        <v>32</v>
      </c>
      <c r="J1209" s="33" t="s">
        <v>139</v>
      </c>
    </row>
    <row r="1210" spans="1:10" x14ac:dyDescent="0.25">
      <c r="A1210" t="s">
        <v>68</v>
      </c>
      <c r="B1210">
        <v>6</v>
      </c>
      <c r="C1210" t="s">
        <v>34</v>
      </c>
      <c r="D1210" t="s">
        <v>70</v>
      </c>
      <c r="E1210" s="2">
        <v>27</v>
      </c>
      <c r="F1210">
        <v>0</v>
      </c>
      <c r="G1210">
        <v>27</v>
      </c>
      <c r="H1210">
        <v>11.3</v>
      </c>
      <c r="I1210" t="s">
        <v>33</v>
      </c>
      <c r="J1210" s="33" t="s">
        <v>139</v>
      </c>
    </row>
    <row r="1211" spans="1:10" x14ac:dyDescent="0.25">
      <c r="A1211" t="s">
        <v>71</v>
      </c>
      <c r="B1211">
        <v>10</v>
      </c>
      <c r="C1211" t="s">
        <v>34</v>
      </c>
      <c r="D1211" t="s">
        <v>75</v>
      </c>
      <c r="E1211" s="2">
        <v>27</v>
      </c>
      <c r="F1211">
        <v>0</v>
      </c>
      <c r="G1211">
        <v>27</v>
      </c>
      <c r="H1211">
        <v>5.8</v>
      </c>
      <c r="I1211" t="s">
        <v>33</v>
      </c>
      <c r="J1211" s="33" t="s">
        <v>139</v>
      </c>
    </row>
    <row r="1212" spans="1:10" x14ac:dyDescent="0.25">
      <c r="A1212" t="s">
        <v>71</v>
      </c>
      <c r="B1212">
        <v>11</v>
      </c>
      <c r="C1212" t="s">
        <v>30</v>
      </c>
      <c r="D1212" t="s">
        <v>76</v>
      </c>
      <c r="E1212" s="2">
        <v>27</v>
      </c>
      <c r="F1212">
        <v>0</v>
      </c>
      <c r="G1212">
        <v>27</v>
      </c>
      <c r="H1212">
        <v>5.4</v>
      </c>
      <c r="I1212" t="s">
        <v>33</v>
      </c>
      <c r="J1212" s="33" t="s">
        <v>139</v>
      </c>
    </row>
    <row r="1213" spans="1:10" x14ac:dyDescent="0.25">
      <c r="A1213" t="s">
        <v>29</v>
      </c>
      <c r="B1213">
        <v>1</v>
      </c>
      <c r="C1213" t="s">
        <v>34</v>
      </c>
      <c r="D1213" t="s">
        <v>35</v>
      </c>
      <c r="E1213" s="2">
        <v>28</v>
      </c>
      <c r="F1213">
        <v>0</v>
      </c>
      <c r="G1213">
        <v>28</v>
      </c>
      <c r="H1213">
        <v>2.6</v>
      </c>
      <c r="I1213" t="s">
        <v>33</v>
      </c>
      <c r="J1213" s="33" t="s">
        <v>139</v>
      </c>
    </row>
    <row r="1214" spans="1:10" x14ac:dyDescent="0.25">
      <c r="A1214" t="s">
        <v>29</v>
      </c>
      <c r="B1214">
        <v>2</v>
      </c>
      <c r="C1214" t="s">
        <v>30</v>
      </c>
      <c r="D1214" t="s">
        <v>36</v>
      </c>
      <c r="E1214" s="2">
        <v>28</v>
      </c>
      <c r="F1214">
        <v>0</v>
      </c>
      <c r="G1214">
        <v>28</v>
      </c>
      <c r="H1214">
        <v>1.2</v>
      </c>
      <c r="I1214" t="s">
        <v>33</v>
      </c>
      <c r="J1214" s="33" t="s">
        <v>139</v>
      </c>
    </row>
    <row r="1215" spans="1:10" x14ac:dyDescent="0.25">
      <c r="A1215" t="s">
        <v>29</v>
      </c>
      <c r="B1215">
        <v>2</v>
      </c>
      <c r="C1215" t="s">
        <v>34</v>
      </c>
      <c r="D1215" t="s">
        <v>37</v>
      </c>
      <c r="E1215" s="2">
        <v>28</v>
      </c>
      <c r="F1215">
        <v>0</v>
      </c>
      <c r="G1215">
        <v>28</v>
      </c>
      <c r="H1215">
        <v>6.5</v>
      </c>
      <c r="I1215" t="s">
        <v>33</v>
      </c>
      <c r="J1215" s="33" t="s">
        <v>139</v>
      </c>
    </row>
    <row r="1216" spans="1:10" x14ac:dyDescent="0.25">
      <c r="A1216" t="s">
        <v>29</v>
      </c>
      <c r="B1216">
        <v>4</v>
      </c>
      <c r="C1216" t="s">
        <v>34</v>
      </c>
      <c r="D1216" t="s">
        <v>41</v>
      </c>
      <c r="E1216" s="2">
        <v>28</v>
      </c>
      <c r="F1216">
        <v>0</v>
      </c>
      <c r="G1216">
        <v>28</v>
      </c>
      <c r="H1216">
        <v>0.4</v>
      </c>
      <c r="I1216" t="s">
        <v>32</v>
      </c>
      <c r="J1216" s="33" t="s">
        <v>139</v>
      </c>
    </row>
    <row r="1217" spans="1:10" x14ac:dyDescent="0.25">
      <c r="A1217" t="s">
        <v>42</v>
      </c>
      <c r="B1217">
        <v>1</v>
      </c>
      <c r="C1217" t="s">
        <v>34</v>
      </c>
      <c r="D1217" t="s">
        <v>44</v>
      </c>
      <c r="E1217" s="2">
        <v>28</v>
      </c>
      <c r="F1217">
        <v>0</v>
      </c>
      <c r="G1217">
        <v>28</v>
      </c>
      <c r="H1217">
        <v>5.9</v>
      </c>
      <c r="I1217" t="s">
        <v>33</v>
      </c>
      <c r="J1217" s="33" t="s">
        <v>139</v>
      </c>
    </row>
    <row r="1218" spans="1:10" x14ac:dyDescent="0.25">
      <c r="A1218" t="s">
        <v>42</v>
      </c>
      <c r="B1218">
        <v>3</v>
      </c>
      <c r="C1218" t="s">
        <v>34</v>
      </c>
      <c r="D1218" t="s">
        <v>50</v>
      </c>
      <c r="E1218" s="2">
        <v>28</v>
      </c>
      <c r="F1218">
        <v>0</v>
      </c>
      <c r="G1218">
        <v>28</v>
      </c>
      <c r="H1218">
        <v>4.4000000000000004</v>
      </c>
      <c r="I1218" t="s">
        <v>33</v>
      </c>
      <c r="J1218" s="33" t="s">
        <v>139</v>
      </c>
    </row>
    <row r="1219" spans="1:10" x14ac:dyDescent="0.25">
      <c r="A1219" t="s">
        <v>52</v>
      </c>
      <c r="B1219">
        <v>4</v>
      </c>
      <c r="C1219" t="s">
        <v>34</v>
      </c>
      <c r="D1219" t="s">
        <v>53</v>
      </c>
      <c r="E1219" s="2">
        <v>28</v>
      </c>
      <c r="F1219">
        <v>20</v>
      </c>
      <c r="G1219">
        <v>8</v>
      </c>
      <c r="H1219">
        <v>0</v>
      </c>
      <c r="I1219" t="s">
        <v>32</v>
      </c>
      <c r="J1219" s="33" t="s">
        <v>139</v>
      </c>
    </row>
    <row r="1220" spans="1:10" x14ac:dyDescent="0.25">
      <c r="A1220" t="s">
        <v>54</v>
      </c>
      <c r="B1220">
        <v>1</v>
      </c>
      <c r="C1220" t="s">
        <v>30</v>
      </c>
      <c r="D1220" t="s">
        <v>55</v>
      </c>
      <c r="E1220" s="2">
        <v>28</v>
      </c>
      <c r="F1220">
        <v>0</v>
      </c>
      <c r="G1220">
        <v>28</v>
      </c>
      <c r="H1220">
        <v>6.5</v>
      </c>
      <c r="I1220" t="s">
        <v>33</v>
      </c>
      <c r="J1220" s="33" t="s">
        <v>139</v>
      </c>
    </row>
    <row r="1221" spans="1:10" x14ac:dyDescent="0.25">
      <c r="A1221" t="s">
        <v>54</v>
      </c>
      <c r="B1221">
        <v>1</v>
      </c>
      <c r="C1221" t="s">
        <v>30</v>
      </c>
      <c r="D1221" t="s">
        <v>55</v>
      </c>
      <c r="E1221" s="2">
        <v>28</v>
      </c>
      <c r="F1221">
        <v>0</v>
      </c>
      <c r="G1221">
        <v>28</v>
      </c>
      <c r="H1221">
        <v>16.899999999999999</v>
      </c>
      <c r="I1221" t="s">
        <v>33</v>
      </c>
      <c r="J1221" s="33" t="s">
        <v>139</v>
      </c>
    </row>
    <row r="1222" spans="1:10" x14ac:dyDescent="0.25">
      <c r="A1222" t="s">
        <v>54</v>
      </c>
      <c r="B1222">
        <v>4</v>
      </c>
      <c r="C1222" t="s">
        <v>34</v>
      </c>
      <c r="D1222" t="s">
        <v>62</v>
      </c>
      <c r="E1222" s="2">
        <v>28</v>
      </c>
      <c r="F1222">
        <v>0</v>
      </c>
      <c r="G1222">
        <v>28</v>
      </c>
      <c r="H1222">
        <v>5.3</v>
      </c>
      <c r="I1222" t="s">
        <v>33</v>
      </c>
      <c r="J1222" s="33" t="s">
        <v>139</v>
      </c>
    </row>
    <row r="1223" spans="1:10" x14ac:dyDescent="0.25">
      <c r="A1223" t="s">
        <v>63</v>
      </c>
      <c r="B1223">
        <v>5</v>
      </c>
      <c r="C1223" t="s">
        <v>30</v>
      </c>
      <c r="D1223" t="s">
        <v>64</v>
      </c>
      <c r="E1223" s="2">
        <v>28</v>
      </c>
      <c r="F1223">
        <v>0</v>
      </c>
      <c r="G1223">
        <v>28</v>
      </c>
      <c r="H1223">
        <v>0.7</v>
      </c>
      <c r="I1223" t="s">
        <v>32</v>
      </c>
      <c r="J1223" s="33" t="s">
        <v>139</v>
      </c>
    </row>
    <row r="1224" spans="1:10" x14ac:dyDescent="0.25">
      <c r="A1224" t="s">
        <v>68</v>
      </c>
      <c r="B1224">
        <v>6</v>
      </c>
      <c r="C1224" t="s">
        <v>34</v>
      </c>
      <c r="D1224" t="s">
        <v>70</v>
      </c>
      <c r="E1224" s="2">
        <v>28</v>
      </c>
      <c r="F1224">
        <v>0</v>
      </c>
      <c r="G1224">
        <v>28</v>
      </c>
      <c r="H1224">
        <v>1.6</v>
      </c>
      <c r="I1224" t="s">
        <v>33</v>
      </c>
      <c r="J1224" s="33" t="s">
        <v>139</v>
      </c>
    </row>
    <row r="1225" spans="1:10" x14ac:dyDescent="0.25">
      <c r="A1225" t="s">
        <v>71</v>
      </c>
      <c r="B1225">
        <v>10</v>
      </c>
      <c r="C1225" t="s">
        <v>34</v>
      </c>
      <c r="D1225" t="s">
        <v>75</v>
      </c>
      <c r="E1225" s="2">
        <v>28</v>
      </c>
      <c r="F1225">
        <v>0</v>
      </c>
      <c r="G1225">
        <v>28</v>
      </c>
      <c r="H1225">
        <v>7.2</v>
      </c>
      <c r="I1225" t="s">
        <v>33</v>
      </c>
      <c r="J1225" s="33" t="s">
        <v>139</v>
      </c>
    </row>
    <row r="1226" spans="1:10" x14ac:dyDescent="0.25">
      <c r="A1226" t="s">
        <v>29</v>
      </c>
      <c r="B1226">
        <v>1</v>
      </c>
      <c r="C1226" t="s">
        <v>34</v>
      </c>
      <c r="D1226" t="s">
        <v>35</v>
      </c>
      <c r="E1226" s="2">
        <v>29</v>
      </c>
      <c r="F1226">
        <v>0</v>
      </c>
      <c r="G1226">
        <v>29</v>
      </c>
      <c r="H1226">
        <v>8.8000000000000007</v>
      </c>
      <c r="I1226" t="s">
        <v>33</v>
      </c>
      <c r="J1226" s="33" t="s">
        <v>139</v>
      </c>
    </row>
    <row r="1227" spans="1:10" x14ac:dyDescent="0.25">
      <c r="A1227" t="s">
        <v>29</v>
      </c>
      <c r="B1227">
        <v>4</v>
      </c>
      <c r="C1227" t="s">
        <v>30</v>
      </c>
      <c r="D1227" t="s">
        <v>40</v>
      </c>
      <c r="E1227" s="2">
        <v>29</v>
      </c>
      <c r="F1227">
        <v>0</v>
      </c>
      <c r="G1227">
        <v>29</v>
      </c>
      <c r="H1227">
        <v>4.5999999999999996</v>
      </c>
      <c r="I1227" t="s">
        <v>33</v>
      </c>
      <c r="J1227" s="33" t="s">
        <v>139</v>
      </c>
    </row>
    <row r="1228" spans="1:10" x14ac:dyDescent="0.25">
      <c r="A1228" t="s">
        <v>71</v>
      </c>
      <c r="B1228">
        <v>11</v>
      </c>
      <c r="C1228" t="s">
        <v>30</v>
      </c>
      <c r="D1228" t="s">
        <v>76</v>
      </c>
      <c r="E1228" s="2">
        <v>29</v>
      </c>
      <c r="F1228">
        <v>0</v>
      </c>
      <c r="G1228">
        <v>29</v>
      </c>
      <c r="H1228">
        <v>1.6</v>
      </c>
      <c r="I1228" t="s">
        <v>33</v>
      </c>
      <c r="J1228" s="33" t="s">
        <v>139</v>
      </c>
    </row>
    <row r="1229" spans="1:10" x14ac:dyDescent="0.25">
      <c r="A1229" t="s">
        <v>29</v>
      </c>
      <c r="B1229">
        <v>1</v>
      </c>
      <c r="C1229" t="s">
        <v>34</v>
      </c>
      <c r="D1229" t="s">
        <v>35</v>
      </c>
      <c r="E1229" s="2">
        <v>30</v>
      </c>
      <c r="F1229">
        <v>0</v>
      </c>
      <c r="G1229">
        <v>30</v>
      </c>
      <c r="H1229">
        <v>2.5</v>
      </c>
      <c r="I1229" t="s">
        <v>33</v>
      </c>
      <c r="J1229" s="33" t="s">
        <v>139</v>
      </c>
    </row>
    <row r="1230" spans="1:10" x14ac:dyDescent="0.25">
      <c r="A1230" t="s">
        <v>29</v>
      </c>
      <c r="B1230">
        <v>3</v>
      </c>
      <c r="C1230" t="s">
        <v>30</v>
      </c>
      <c r="D1230" t="s">
        <v>38</v>
      </c>
      <c r="E1230" s="2">
        <v>30</v>
      </c>
      <c r="F1230">
        <v>0</v>
      </c>
      <c r="G1230">
        <v>30</v>
      </c>
      <c r="H1230">
        <v>12.6</v>
      </c>
      <c r="I1230" t="s">
        <v>33</v>
      </c>
      <c r="J1230" s="33" t="s">
        <v>139</v>
      </c>
    </row>
    <row r="1231" spans="1:10" x14ac:dyDescent="0.25">
      <c r="A1231" t="s">
        <v>29</v>
      </c>
      <c r="B1231">
        <v>3</v>
      </c>
      <c r="C1231" t="s">
        <v>34</v>
      </c>
      <c r="D1231" t="s">
        <v>39</v>
      </c>
      <c r="E1231" s="2">
        <v>30</v>
      </c>
      <c r="F1231">
        <v>0</v>
      </c>
      <c r="G1231">
        <v>30</v>
      </c>
      <c r="H1231">
        <v>3.4</v>
      </c>
      <c r="I1231" t="s">
        <v>33</v>
      </c>
      <c r="J1231" s="33" t="s">
        <v>139</v>
      </c>
    </row>
    <row r="1232" spans="1:10" x14ac:dyDescent="0.25">
      <c r="A1232" t="s">
        <v>29</v>
      </c>
      <c r="B1232">
        <v>3</v>
      </c>
      <c r="C1232" t="s">
        <v>34</v>
      </c>
      <c r="D1232" t="s">
        <v>39</v>
      </c>
      <c r="E1232" s="2">
        <v>30</v>
      </c>
      <c r="F1232">
        <v>0</v>
      </c>
      <c r="G1232">
        <v>30</v>
      </c>
      <c r="H1232">
        <v>11.4</v>
      </c>
      <c r="I1232" t="s">
        <v>33</v>
      </c>
      <c r="J1232" s="33" t="s">
        <v>139</v>
      </c>
    </row>
    <row r="1233" spans="1:10" x14ac:dyDescent="0.25">
      <c r="A1233" t="s">
        <v>42</v>
      </c>
      <c r="B1233">
        <v>1</v>
      </c>
      <c r="C1233" t="s">
        <v>34</v>
      </c>
      <c r="D1233" t="s">
        <v>44</v>
      </c>
      <c r="E1233" s="2">
        <v>30</v>
      </c>
      <c r="F1233">
        <v>0</v>
      </c>
      <c r="G1233">
        <v>30</v>
      </c>
      <c r="H1233">
        <v>6</v>
      </c>
      <c r="I1233" t="s">
        <v>33</v>
      </c>
      <c r="J1233" s="33" t="s">
        <v>139</v>
      </c>
    </row>
    <row r="1234" spans="1:10" x14ac:dyDescent="0.25">
      <c r="A1234" t="s">
        <v>54</v>
      </c>
      <c r="B1234">
        <v>4</v>
      </c>
      <c r="C1234" t="s">
        <v>34</v>
      </c>
      <c r="D1234" t="s">
        <v>62</v>
      </c>
      <c r="E1234" s="2">
        <v>30</v>
      </c>
      <c r="F1234">
        <v>0</v>
      </c>
      <c r="G1234">
        <v>30</v>
      </c>
      <c r="H1234">
        <v>0.3</v>
      </c>
      <c r="I1234" t="s">
        <v>32</v>
      </c>
      <c r="J1234" s="33" t="s">
        <v>139</v>
      </c>
    </row>
    <row r="1235" spans="1:10" x14ac:dyDescent="0.25">
      <c r="A1235" t="s">
        <v>63</v>
      </c>
      <c r="B1235">
        <v>5</v>
      </c>
      <c r="C1235" t="s">
        <v>34</v>
      </c>
      <c r="D1235" t="s">
        <v>65</v>
      </c>
      <c r="E1235" s="2">
        <v>30</v>
      </c>
      <c r="F1235">
        <v>12</v>
      </c>
      <c r="G1235">
        <v>18</v>
      </c>
      <c r="H1235">
        <v>0</v>
      </c>
      <c r="I1235" t="s">
        <v>32</v>
      </c>
      <c r="J1235" s="33" t="s">
        <v>139</v>
      </c>
    </row>
    <row r="1236" spans="1:10" x14ac:dyDescent="0.25">
      <c r="A1236" t="s">
        <v>63</v>
      </c>
      <c r="B1236">
        <v>5</v>
      </c>
      <c r="C1236" t="s">
        <v>34</v>
      </c>
      <c r="D1236" t="s">
        <v>65</v>
      </c>
      <c r="E1236" s="2">
        <v>30</v>
      </c>
      <c r="F1236">
        <v>0</v>
      </c>
      <c r="G1236">
        <v>30</v>
      </c>
      <c r="H1236">
        <v>3.4</v>
      </c>
      <c r="I1236" t="s">
        <v>33</v>
      </c>
      <c r="J1236" s="33" t="s">
        <v>139</v>
      </c>
    </row>
    <row r="1237" spans="1:10" x14ac:dyDescent="0.25">
      <c r="A1237" t="s">
        <v>63</v>
      </c>
      <c r="B1237">
        <v>1</v>
      </c>
      <c r="C1237" t="s">
        <v>34</v>
      </c>
      <c r="D1237" t="s">
        <v>67</v>
      </c>
      <c r="E1237" s="2">
        <v>30</v>
      </c>
      <c r="F1237">
        <v>0</v>
      </c>
      <c r="G1237">
        <v>30</v>
      </c>
      <c r="H1237">
        <v>12.4</v>
      </c>
      <c r="I1237" t="s">
        <v>33</v>
      </c>
      <c r="J1237" s="33" t="s">
        <v>139</v>
      </c>
    </row>
    <row r="1238" spans="1:10" x14ac:dyDescent="0.25">
      <c r="A1238" t="s">
        <v>71</v>
      </c>
      <c r="B1238">
        <v>11</v>
      </c>
      <c r="C1238" t="s">
        <v>34</v>
      </c>
      <c r="D1238" t="s">
        <v>77</v>
      </c>
      <c r="E1238" s="2">
        <v>30</v>
      </c>
      <c r="F1238">
        <v>0</v>
      </c>
      <c r="G1238">
        <v>30</v>
      </c>
      <c r="H1238">
        <v>13</v>
      </c>
      <c r="I1238" t="s">
        <v>33</v>
      </c>
      <c r="J1238" s="33" t="s">
        <v>139</v>
      </c>
    </row>
    <row r="1239" spans="1:10" x14ac:dyDescent="0.25">
      <c r="A1239" t="s">
        <v>29</v>
      </c>
      <c r="B1239">
        <v>1</v>
      </c>
      <c r="C1239" t="s">
        <v>34</v>
      </c>
      <c r="D1239" t="s">
        <v>35</v>
      </c>
      <c r="E1239" s="2">
        <v>31</v>
      </c>
      <c r="F1239">
        <v>0</v>
      </c>
      <c r="G1239">
        <v>31</v>
      </c>
      <c r="H1239">
        <v>6.3</v>
      </c>
      <c r="I1239" t="s">
        <v>33</v>
      </c>
      <c r="J1239" s="33" t="s">
        <v>140</v>
      </c>
    </row>
    <row r="1240" spans="1:10" x14ac:dyDescent="0.25">
      <c r="A1240" t="s">
        <v>29</v>
      </c>
      <c r="B1240">
        <v>1</v>
      </c>
      <c r="C1240" t="s">
        <v>34</v>
      </c>
      <c r="D1240" t="s">
        <v>35</v>
      </c>
      <c r="E1240" s="2">
        <v>31</v>
      </c>
      <c r="F1240">
        <v>0</v>
      </c>
      <c r="G1240">
        <v>31</v>
      </c>
      <c r="H1240">
        <v>6</v>
      </c>
      <c r="I1240" t="s">
        <v>33</v>
      </c>
      <c r="J1240" s="33" t="s">
        <v>140</v>
      </c>
    </row>
    <row r="1241" spans="1:10" x14ac:dyDescent="0.25">
      <c r="A1241" t="s">
        <v>29</v>
      </c>
      <c r="B1241">
        <v>2</v>
      </c>
      <c r="C1241" t="s">
        <v>30</v>
      </c>
      <c r="D1241" t="s">
        <v>36</v>
      </c>
      <c r="E1241" s="2">
        <v>31</v>
      </c>
      <c r="F1241">
        <v>0</v>
      </c>
      <c r="G1241">
        <v>31</v>
      </c>
      <c r="H1241">
        <v>9.3000000000000007</v>
      </c>
      <c r="I1241" t="s">
        <v>33</v>
      </c>
      <c r="J1241" s="33" t="s">
        <v>140</v>
      </c>
    </row>
    <row r="1242" spans="1:10" x14ac:dyDescent="0.25">
      <c r="A1242" t="s">
        <v>29</v>
      </c>
      <c r="B1242">
        <v>2</v>
      </c>
      <c r="C1242" t="s">
        <v>34</v>
      </c>
      <c r="D1242" t="s">
        <v>37</v>
      </c>
      <c r="E1242" s="2">
        <v>31</v>
      </c>
      <c r="F1242">
        <v>0</v>
      </c>
      <c r="G1242">
        <v>31</v>
      </c>
      <c r="H1242">
        <v>10.6</v>
      </c>
      <c r="I1242" t="s">
        <v>33</v>
      </c>
      <c r="J1242" s="33" t="s">
        <v>140</v>
      </c>
    </row>
    <row r="1243" spans="1:10" x14ac:dyDescent="0.25">
      <c r="A1243" t="s">
        <v>29</v>
      </c>
      <c r="B1243">
        <v>3</v>
      </c>
      <c r="C1243" t="s">
        <v>30</v>
      </c>
      <c r="D1243" t="s">
        <v>38</v>
      </c>
      <c r="E1243" s="2">
        <v>31</v>
      </c>
      <c r="F1243">
        <v>0</v>
      </c>
      <c r="G1243">
        <v>31</v>
      </c>
      <c r="H1243">
        <v>9.1</v>
      </c>
      <c r="I1243" t="s">
        <v>33</v>
      </c>
      <c r="J1243" s="33" t="s">
        <v>140</v>
      </c>
    </row>
    <row r="1244" spans="1:10" x14ac:dyDescent="0.25">
      <c r="A1244" t="s">
        <v>42</v>
      </c>
      <c r="B1244">
        <v>2</v>
      </c>
      <c r="C1244" t="s">
        <v>34</v>
      </c>
      <c r="D1244" t="s">
        <v>46</v>
      </c>
      <c r="E1244" s="2">
        <v>31</v>
      </c>
      <c r="F1244">
        <v>0</v>
      </c>
      <c r="G1244">
        <v>31</v>
      </c>
      <c r="H1244">
        <v>9.6</v>
      </c>
      <c r="I1244" t="s">
        <v>33</v>
      </c>
      <c r="J1244" s="33" t="s">
        <v>140</v>
      </c>
    </row>
    <row r="1245" spans="1:10" x14ac:dyDescent="0.25">
      <c r="A1245" t="s">
        <v>63</v>
      </c>
      <c r="B1245">
        <v>5</v>
      </c>
      <c r="C1245" t="s">
        <v>34</v>
      </c>
      <c r="D1245" t="s">
        <v>65</v>
      </c>
      <c r="E1245" s="2">
        <v>31</v>
      </c>
      <c r="F1245">
        <v>0</v>
      </c>
      <c r="G1245">
        <v>31</v>
      </c>
      <c r="H1245">
        <v>2.1</v>
      </c>
      <c r="I1245" t="s">
        <v>33</v>
      </c>
      <c r="J1245" s="33" t="s">
        <v>140</v>
      </c>
    </row>
    <row r="1246" spans="1:10" x14ac:dyDescent="0.25">
      <c r="A1246" t="s">
        <v>63</v>
      </c>
      <c r="B1246">
        <v>1</v>
      </c>
      <c r="C1246" t="s">
        <v>34</v>
      </c>
      <c r="D1246" t="s">
        <v>67</v>
      </c>
      <c r="E1246" s="2">
        <v>31</v>
      </c>
      <c r="F1246">
        <v>0</v>
      </c>
      <c r="G1246">
        <v>31</v>
      </c>
      <c r="H1246">
        <v>0.6</v>
      </c>
      <c r="I1246" t="s">
        <v>32</v>
      </c>
      <c r="J1246" s="33" t="s">
        <v>140</v>
      </c>
    </row>
    <row r="1247" spans="1:10" x14ac:dyDescent="0.25">
      <c r="A1247" t="s">
        <v>68</v>
      </c>
      <c r="B1247">
        <v>6</v>
      </c>
      <c r="C1247" t="s">
        <v>34</v>
      </c>
      <c r="D1247" t="s">
        <v>70</v>
      </c>
      <c r="E1247" s="2">
        <v>31</v>
      </c>
      <c r="F1247">
        <v>0</v>
      </c>
      <c r="G1247">
        <v>31</v>
      </c>
      <c r="H1247">
        <v>18.2</v>
      </c>
      <c r="I1247" t="s">
        <v>33</v>
      </c>
      <c r="J1247" s="33" t="s">
        <v>140</v>
      </c>
    </row>
    <row r="1248" spans="1:10" x14ac:dyDescent="0.25">
      <c r="A1248" t="s">
        <v>29</v>
      </c>
      <c r="B1248">
        <v>1</v>
      </c>
      <c r="C1248" t="s">
        <v>34</v>
      </c>
      <c r="D1248" t="s">
        <v>35</v>
      </c>
      <c r="E1248" s="2">
        <v>32</v>
      </c>
      <c r="F1248">
        <v>0</v>
      </c>
      <c r="G1248">
        <v>32</v>
      </c>
      <c r="H1248">
        <v>13.3</v>
      </c>
      <c r="I1248" t="s">
        <v>33</v>
      </c>
      <c r="J1248" s="33" t="s">
        <v>140</v>
      </c>
    </row>
    <row r="1249" spans="1:10" x14ac:dyDescent="0.25">
      <c r="A1249" t="s">
        <v>29</v>
      </c>
      <c r="B1249">
        <v>3</v>
      </c>
      <c r="C1249" t="s">
        <v>30</v>
      </c>
      <c r="D1249" t="s">
        <v>38</v>
      </c>
      <c r="E1249" s="2">
        <v>32</v>
      </c>
      <c r="F1249">
        <v>0</v>
      </c>
      <c r="G1249">
        <v>32</v>
      </c>
      <c r="H1249">
        <v>14.4</v>
      </c>
      <c r="I1249" t="s">
        <v>33</v>
      </c>
      <c r="J1249" s="33" t="s">
        <v>140</v>
      </c>
    </row>
    <row r="1250" spans="1:10" x14ac:dyDescent="0.25">
      <c r="A1250" t="s">
        <v>29</v>
      </c>
      <c r="B1250">
        <v>3</v>
      </c>
      <c r="C1250" t="s">
        <v>34</v>
      </c>
      <c r="D1250" t="s">
        <v>39</v>
      </c>
      <c r="E1250" s="2">
        <v>32</v>
      </c>
      <c r="F1250">
        <v>0</v>
      </c>
      <c r="G1250">
        <v>32</v>
      </c>
      <c r="H1250">
        <v>10.6</v>
      </c>
      <c r="I1250" t="s">
        <v>33</v>
      </c>
      <c r="J1250" s="33" t="s">
        <v>140</v>
      </c>
    </row>
    <row r="1251" spans="1:10" x14ac:dyDescent="0.25">
      <c r="A1251" t="s">
        <v>29</v>
      </c>
      <c r="B1251">
        <v>4</v>
      </c>
      <c r="C1251" t="s">
        <v>30</v>
      </c>
      <c r="D1251" t="s">
        <v>40</v>
      </c>
      <c r="E1251" s="2">
        <v>32</v>
      </c>
      <c r="F1251">
        <v>0</v>
      </c>
      <c r="G1251">
        <v>32</v>
      </c>
      <c r="H1251">
        <v>9.4</v>
      </c>
      <c r="I1251" t="s">
        <v>33</v>
      </c>
      <c r="J1251" s="33" t="s">
        <v>140</v>
      </c>
    </row>
    <row r="1252" spans="1:10" x14ac:dyDescent="0.25">
      <c r="A1252" t="s">
        <v>29</v>
      </c>
      <c r="B1252">
        <v>4</v>
      </c>
      <c r="C1252" t="s">
        <v>30</v>
      </c>
      <c r="D1252" t="s">
        <v>40</v>
      </c>
      <c r="E1252" s="2">
        <v>32</v>
      </c>
      <c r="F1252">
        <v>0</v>
      </c>
      <c r="G1252">
        <v>32</v>
      </c>
      <c r="H1252">
        <v>13.2</v>
      </c>
      <c r="I1252" t="s">
        <v>33</v>
      </c>
      <c r="J1252" s="33" t="s">
        <v>140</v>
      </c>
    </row>
    <row r="1253" spans="1:10" x14ac:dyDescent="0.25">
      <c r="A1253" t="s">
        <v>42</v>
      </c>
      <c r="B1253">
        <v>2</v>
      </c>
      <c r="C1253" t="s">
        <v>30</v>
      </c>
      <c r="D1253" t="s">
        <v>45</v>
      </c>
      <c r="E1253" s="2">
        <v>32</v>
      </c>
      <c r="F1253">
        <v>0</v>
      </c>
      <c r="G1253">
        <v>32</v>
      </c>
      <c r="H1253">
        <v>11.3</v>
      </c>
      <c r="I1253" t="s">
        <v>33</v>
      </c>
      <c r="J1253" s="33" t="s">
        <v>140</v>
      </c>
    </row>
    <row r="1254" spans="1:10" x14ac:dyDescent="0.25">
      <c r="A1254" t="s">
        <v>42</v>
      </c>
      <c r="B1254">
        <v>2</v>
      </c>
      <c r="C1254" t="s">
        <v>34</v>
      </c>
      <c r="D1254" t="s">
        <v>46</v>
      </c>
      <c r="E1254" s="2">
        <v>32</v>
      </c>
      <c r="F1254">
        <v>24</v>
      </c>
      <c r="G1254">
        <v>8</v>
      </c>
      <c r="H1254">
        <v>0</v>
      </c>
      <c r="I1254" t="s">
        <v>32</v>
      </c>
      <c r="J1254" s="33" t="s">
        <v>140</v>
      </c>
    </row>
    <row r="1255" spans="1:10" x14ac:dyDescent="0.25">
      <c r="A1255" t="s">
        <v>54</v>
      </c>
      <c r="B1255">
        <v>4</v>
      </c>
      <c r="C1255" t="s">
        <v>30</v>
      </c>
      <c r="D1255" t="s">
        <v>61</v>
      </c>
      <c r="E1255" s="2">
        <v>32</v>
      </c>
      <c r="F1255">
        <v>0</v>
      </c>
      <c r="G1255">
        <v>32</v>
      </c>
      <c r="H1255">
        <v>13.4</v>
      </c>
      <c r="I1255" t="s">
        <v>33</v>
      </c>
      <c r="J1255" s="33" t="s">
        <v>140</v>
      </c>
    </row>
    <row r="1256" spans="1:10" x14ac:dyDescent="0.25">
      <c r="A1256" t="s">
        <v>54</v>
      </c>
      <c r="B1256">
        <v>4</v>
      </c>
      <c r="C1256" t="s">
        <v>34</v>
      </c>
      <c r="D1256" t="s">
        <v>62</v>
      </c>
      <c r="E1256" s="2">
        <v>32</v>
      </c>
      <c r="F1256">
        <v>0</v>
      </c>
      <c r="G1256">
        <v>32</v>
      </c>
      <c r="H1256">
        <v>10.7</v>
      </c>
      <c r="I1256" t="s">
        <v>33</v>
      </c>
      <c r="J1256" s="33" t="s">
        <v>140</v>
      </c>
    </row>
    <row r="1257" spans="1:10" x14ac:dyDescent="0.25">
      <c r="A1257" t="s">
        <v>29</v>
      </c>
      <c r="B1257">
        <v>1</v>
      </c>
      <c r="C1257" t="s">
        <v>30</v>
      </c>
      <c r="D1257" t="s">
        <v>31</v>
      </c>
      <c r="E1257" s="2">
        <v>33</v>
      </c>
      <c r="F1257">
        <v>0</v>
      </c>
      <c r="G1257">
        <v>33</v>
      </c>
      <c r="H1257">
        <v>8.4</v>
      </c>
      <c r="I1257" t="s">
        <v>33</v>
      </c>
      <c r="J1257" s="33" t="s">
        <v>140</v>
      </c>
    </row>
    <row r="1258" spans="1:10" x14ac:dyDescent="0.25">
      <c r="A1258" t="s">
        <v>29</v>
      </c>
      <c r="B1258">
        <v>1</v>
      </c>
      <c r="C1258" t="s">
        <v>34</v>
      </c>
      <c r="D1258" t="s">
        <v>35</v>
      </c>
      <c r="E1258" s="2">
        <v>33</v>
      </c>
      <c r="F1258">
        <v>0</v>
      </c>
      <c r="G1258">
        <v>33</v>
      </c>
      <c r="H1258">
        <v>5.7</v>
      </c>
      <c r="I1258" t="s">
        <v>33</v>
      </c>
      <c r="J1258" s="33" t="s">
        <v>140</v>
      </c>
    </row>
    <row r="1259" spans="1:10" x14ac:dyDescent="0.25">
      <c r="A1259" t="s">
        <v>29</v>
      </c>
      <c r="B1259">
        <v>2</v>
      </c>
      <c r="C1259" t="s">
        <v>34</v>
      </c>
      <c r="D1259" t="s">
        <v>37</v>
      </c>
      <c r="E1259" s="2">
        <v>33</v>
      </c>
      <c r="F1259">
        <v>0</v>
      </c>
      <c r="G1259">
        <v>33</v>
      </c>
      <c r="H1259">
        <v>2</v>
      </c>
      <c r="I1259" t="s">
        <v>33</v>
      </c>
      <c r="J1259" s="33" t="s">
        <v>140</v>
      </c>
    </row>
    <row r="1260" spans="1:10" x14ac:dyDescent="0.25">
      <c r="A1260" t="s">
        <v>29</v>
      </c>
      <c r="B1260">
        <v>2</v>
      </c>
      <c r="C1260" t="s">
        <v>34</v>
      </c>
      <c r="D1260" t="s">
        <v>37</v>
      </c>
      <c r="E1260" s="2">
        <v>33</v>
      </c>
      <c r="F1260">
        <v>33</v>
      </c>
      <c r="G1260">
        <v>0</v>
      </c>
      <c r="H1260">
        <v>0</v>
      </c>
      <c r="I1260" t="s">
        <v>32</v>
      </c>
      <c r="J1260" s="33" t="s">
        <v>140</v>
      </c>
    </row>
    <row r="1261" spans="1:10" x14ac:dyDescent="0.25">
      <c r="A1261" t="s">
        <v>29</v>
      </c>
      <c r="B1261">
        <v>2</v>
      </c>
      <c r="C1261" t="s">
        <v>34</v>
      </c>
      <c r="D1261" t="s">
        <v>37</v>
      </c>
      <c r="E1261" s="2">
        <v>33</v>
      </c>
      <c r="F1261">
        <v>0</v>
      </c>
      <c r="G1261">
        <v>33</v>
      </c>
      <c r="H1261">
        <v>2.7</v>
      </c>
      <c r="I1261" t="s">
        <v>33</v>
      </c>
      <c r="J1261" s="33" t="s">
        <v>140</v>
      </c>
    </row>
    <row r="1262" spans="1:10" x14ac:dyDescent="0.25">
      <c r="A1262" t="s">
        <v>29</v>
      </c>
      <c r="B1262">
        <v>2</v>
      </c>
      <c r="C1262" t="s">
        <v>34</v>
      </c>
      <c r="D1262" t="s">
        <v>37</v>
      </c>
      <c r="E1262" s="2">
        <v>33</v>
      </c>
      <c r="F1262">
        <v>0</v>
      </c>
      <c r="G1262">
        <v>33</v>
      </c>
      <c r="H1262">
        <v>8.1999999999999993</v>
      </c>
      <c r="I1262" t="s">
        <v>33</v>
      </c>
      <c r="J1262" s="33" t="s">
        <v>140</v>
      </c>
    </row>
    <row r="1263" spans="1:10" x14ac:dyDescent="0.25">
      <c r="A1263" t="s">
        <v>29</v>
      </c>
      <c r="B1263">
        <v>3</v>
      </c>
      <c r="C1263" t="s">
        <v>30</v>
      </c>
      <c r="D1263" t="s">
        <v>38</v>
      </c>
      <c r="E1263" s="2">
        <v>33</v>
      </c>
      <c r="F1263">
        <v>0</v>
      </c>
      <c r="G1263">
        <v>33</v>
      </c>
      <c r="H1263">
        <v>6.4</v>
      </c>
      <c r="I1263" t="s">
        <v>33</v>
      </c>
      <c r="J1263" s="33" t="s">
        <v>140</v>
      </c>
    </row>
    <row r="1264" spans="1:10" x14ac:dyDescent="0.25">
      <c r="A1264" t="s">
        <v>29</v>
      </c>
      <c r="B1264">
        <v>3</v>
      </c>
      <c r="C1264" t="s">
        <v>30</v>
      </c>
      <c r="D1264" t="s">
        <v>38</v>
      </c>
      <c r="E1264" s="2">
        <v>33</v>
      </c>
      <c r="F1264">
        <v>0</v>
      </c>
      <c r="G1264">
        <v>33</v>
      </c>
      <c r="H1264">
        <v>16.8</v>
      </c>
      <c r="I1264" t="s">
        <v>33</v>
      </c>
      <c r="J1264" s="33" t="s">
        <v>140</v>
      </c>
    </row>
    <row r="1265" spans="1:10" x14ac:dyDescent="0.25">
      <c r="A1265" t="s">
        <v>29</v>
      </c>
      <c r="B1265">
        <v>3</v>
      </c>
      <c r="C1265" t="s">
        <v>30</v>
      </c>
      <c r="D1265" t="s">
        <v>38</v>
      </c>
      <c r="E1265" s="2">
        <v>33</v>
      </c>
      <c r="F1265">
        <v>0</v>
      </c>
      <c r="G1265">
        <v>33</v>
      </c>
      <c r="H1265">
        <v>16.3</v>
      </c>
      <c r="I1265" t="s">
        <v>33</v>
      </c>
      <c r="J1265" s="33" t="s">
        <v>140</v>
      </c>
    </row>
    <row r="1266" spans="1:10" x14ac:dyDescent="0.25">
      <c r="A1266" t="s">
        <v>29</v>
      </c>
      <c r="B1266">
        <v>3</v>
      </c>
      <c r="C1266" t="s">
        <v>34</v>
      </c>
      <c r="D1266" t="s">
        <v>39</v>
      </c>
      <c r="E1266" s="2">
        <v>33</v>
      </c>
      <c r="F1266">
        <v>0</v>
      </c>
      <c r="G1266">
        <v>33</v>
      </c>
      <c r="H1266">
        <v>15.4</v>
      </c>
      <c r="I1266" t="s">
        <v>33</v>
      </c>
      <c r="J1266" s="33" t="s">
        <v>140</v>
      </c>
    </row>
    <row r="1267" spans="1:10" x14ac:dyDescent="0.25">
      <c r="A1267" t="s">
        <v>29</v>
      </c>
      <c r="B1267">
        <v>4</v>
      </c>
      <c r="C1267" t="s">
        <v>30</v>
      </c>
      <c r="D1267" t="s">
        <v>40</v>
      </c>
      <c r="E1267" s="2">
        <v>33</v>
      </c>
      <c r="F1267">
        <v>0</v>
      </c>
      <c r="G1267">
        <v>33</v>
      </c>
      <c r="H1267">
        <v>8</v>
      </c>
      <c r="I1267" t="s">
        <v>33</v>
      </c>
      <c r="J1267" s="33" t="s">
        <v>140</v>
      </c>
    </row>
    <row r="1268" spans="1:10" x14ac:dyDescent="0.25">
      <c r="A1268" t="s">
        <v>42</v>
      </c>
      <c r="B1268">
        <v>1</v>
      </c>
      <c r="C1268" t="s">
        <v>30</v>
      </c>
      <c r="D1268" t="s">
        <v>43</v>
      </c>
      <c r="E1268" s="2">
        <v>33</v>
      </c>
      <c r="F1268">
        <v>0</v>
      </c>
      <c r="G1268">
        <v>33</v>
      </c>
      <c r="H1268">
        <v>8.3000000000000007</v>
      </c>
      <c r="I1268" t="s">
        <v>33</v>
      </c>
      <c r="J1268" s="33" t="s">
        <v>140</v>
      </c>
    </row>
    <row r="1269" spans="1:10" x14ac:dyDescent="0.25">
      <c r="A1269" t="s">
        <v>42</v>
      </c>
      <c r="B1269">
        <v>1</v>
      </c>
      <c r="C1269" t="s">
        <v>34</v>
      </c>
      <c r="D1269" t="s">
        <v>44</v>
      </c>
      <c r="E1269" s="2">
        <v>33</v>
      </c>
      <c r="F1269">
        <v>0</v>
      </c>
      <c r="G1269">
        <v>33</v>
      </c>
      <c r="H1269">
        <v>5.2</v>
      </c>
      <c r="I1269" t="s">
        <v>33</v>
      </c>
      <c r="J1269" s="33" t="s">
        <v>140</v>
      </c>
    </row>
    <row r="1270" spans="1:10" x14ac:dyDescent="0.25">
      <c r="A1270" t="s">
        <v>42</v>
      </c>
      <c r="B1270">
        <v>5</v>
      </c>
      <c r="C1270" t="s">
        <v>34</v>
      </c>
      <c r="D1270" t="s">
        <v>48</v>
      </c>
      <c r="E1270" s="2">
        <v>33</v>
      </c>
      <c r="F1270">
        <v>0</v>
      </c>
      <c r="G1270">
        <v>33</v>
      </c>
      <c r="H1270">
        <v>12.1</v>
      </c>
      <c r="I1270" t="s">
        <v>33</v>
      </c>
      <c r="J1270" s="33" t="s">
        <v>140</v>
      </c>
    </row>
    <row r="1271" spans="1:10" x14ac:dyDescent="0.25">
      <c r="A1271" t="s">
        <v>42</v>
      </c>
      <c r="B1271">
        <v>5</v>
      </c>
      <c r="C1271" t="s">
        <v>34</v>
      </c>
      <c r="D1271" t="s">
        <v>48</v>
      </c>
      <c r="E1271" s="2">
        <v>33</v>
      </c>
      <c r="F1271">
        <v>25</v>
      </c>
      <c r="G1271">
        <v>8</v>
      </c>
      <c r="H1271">
        <v>0</v>
      </c>
      <c r="I1271" t="s">
        <v>32</v>
      </c>
      <c r="J1271" s="33" t="s">
        <v>140</v>
      </c>
    </row>
    <row r="1272" spans="1:10" x14ac:dyDescent="0.25">
      <c r="A1272" t="s">
        <v>42</v>
      </c>
      <c r="B1272">
        <v>4</v>
      </c>
      <c r="C1272" t="s">
        <v>30</v>
      </c>
      <c r="D1272" t="s">
        <v>51</v>
      </c>
      <c r="E1272" s="2">
        <v>33</v>
      </c>
      <c r="F1272">
        <v>0</v>
      </c>
      <c r="G1272">
        <v>33</v>
      </c>
      <c r="H1272">
        <v>18.899999999999999</v>
      </c>
      <c r="I1272" t="s">
        <v>33</v>
      </c>
      <c r="J1272" s="33" t="s">
        <v>140</v>
      </c>
    </row>
    <row r="1273" spans="1:10" x14ac:dyDescent="0.25">
      <c r="A1273" t="s">
        <v>54</v>
      </c>
      <c r="B1273">
        <v>4</v>
      </c>
      <c r="C1273" t="s">
        <v>30</v>
      </c>
      <c r="D1273" t="s">
        <v>61</v>
      </c>
      <c r="E1273" s="2">
        <v>33</v>
      </c>
      <c r="F1273">
        <v>0</v>
      </c>
      <c r="G1273">
        <v>33</v>
      </c>
      <c r="H1273">
        <v>0.5</v>
      </c>
      <c r="I1273" t="s">
        <v>32</v>
      </c>
      <c r="J1273" s="33" t="s">
        <v>140</v>
      </c>
    </row>
    <row r="1274" spans="1:10" x14ac:dyDescent="0.25">
      <c r="A1274" t="s">
        <v>68</v>
      </c>
      <c r="B1274">
        <v>6</v>
      </c>
      <c r="C1274" t="s">
        <v>30</v>
      </c>
      <c r="D1274" t="s">
        <v>69</v>
      </c>
      <c r="E1274" s="2">
        <v>33</v>
      </c>
      <c r="F1274">
        <v>0</v>
      </c>
      <c r="G1274">
        <v>33</v>
      </c>
      <c r="H1274">
        <v>10.3</v>
      </c>
      <c r="I1274" t="s">
        <v>33</v>
      </c>
      <c r="J1274" s="33" t="s">
        <v>140</v>
      </c>
    </row>
    <row r="1275" spans="1:10" x14ac:dyDescent="0.25">
      <c r="A1275" t="s">
        <v>29</v>
      </c>
      <c r="B1275">
        <v>1</v>
      </c>
      <c r="C1275" t="s">
        <v>34</v>
      </c>
      <c r="D1275" t="s">
        <v>35</v>
      </c>
      <c r="E1275" s="2">
        <v>34</v>
      </c>
      <c r="F1275">
        <v>0</v>
      </c>
      <c r="G1275">
        <v>34</v>
      </c>
      <c r="H1275">
        <v>6.2</v>
      </c>
      <c r="I1275" t="s">
        <v>33</v>
      </c>
      <c r="J1275" s="33" t="s">
        <v>140</v>
      </c>
    </row>
    <row r="1276" spans="1:10" x14ac:dyDescent="0.25">
      <c r="A1276" t="s">
        <v>29</v>
      </c>
      <c r="B1276">
        <v>1</v>
      </c>
      <c r="C1276" t="s">
        <v>34</v>
      </c>
      <c r="D1276" t="s">
        <v>35</v>
      </c>
      <c r="E1276" s="2">
        <v>34</v>
      </c>
      <c r="F1276">
        <v>0</v>
      </c>
      <c r="G1276">
        <v>34</v>
      </c>
      <c r="H1276">
        <v>10.5</v>
      </c>
      <c r="I1276" t="s">
        <v>33</v>
      </c>
      <c r="J1276" s="33" t="s">
        <v>140</v>
      </c>
    </row>
    <row r="1277" spans="1:10" x14ac:dyDescent="0.25">
      <c r="A1277" t="s">
        <v>29</v>
      </c>
      <c r="B1277">
        <v>3</v>
      </c>
      <c r="C1277" t="s">
        <v>34</v>
      </c>
      <c r="D1277" t="s">
        <v>39</v>
      </c>
      <c r="E1277" s="2">
        <v>34</v>
      </c>
      <c r="F1277">
        <v>0</v>
      </c>
      <c r="G1277">
        <v>34</v>
      </c>
      <c r="H1277">
        <v>10.1</v>
      </c>
      <c r="I1277" t="s">
        <v>33</v>
      </c>
      <c r="J1277" s="33" t="s">
        <v>140</v>
      </c>
    </row>
    <row r="1278" spans="1:10" x14ac:dyDescent="0.25">
      <c r="A1278" t="s">
        <v>42</v>
      </c>
      <c r="B1278">
        <v>2</v>
      </c>
      <c r="C1278" t="s">
        <v>34</v>
      </c>
      <c r="D1278" t="s">
        <v>46</v>
      </c>
      <c r="E1278" s="2">
        <v>34</v>
      </c>
      <c r="F1278">
        <v>0</v>
      </c>
      <c r="G1278">
        <v>34</v>
      </c>
      <c r="H1278">
        <v>10.1</v>
      </c>
      <c r="I1278" t="s">
        <v>33</v>
      </c>
      <c r="J1278" s="33" t="s">
        <v>140</v>
      </c>
    </row>
    <row r="1279" spans="1:10" x14ac:dyDescent="0.25">
      <c r="A1279" t="s">
        <v>42</v>
      </c>
      <c r="B1279">
        <v>5</v>
      </c>
      <c r="C1279" t="s">
        <v>34</v>
      </c>
      <c r="D1279" t="s">
        <v>48</v>
      </c>
      <c r="E1279" s="2">
        <v>34</v>
      </c>
      <c r="F1279">
        <v>0</v>
      </c>
      <c r="G1279">
        <v>34</v>
      </c>
      <c r="H1279">
        <v>14.7</v>
      </c>
      <c r="I1279" t="s">
        <v>33</v>
      </c>
      <c r="J1279" s="33" t="s">
        <v>140</v>
      </c>
    </row>
    <row r="1280" spans="1:10" x14ac:dyDescent="0.25">
      <c r="A1280" t="s">
        <v>63</v>
      </c>
      <c r="B1280">
        <v>5</v>
      </c>
      <c r="C1280" t="s">
        <v>34</v>
      </c>
      <c r="D1280" t="s">
        <v>65</v>
      </c>
      <c r="E1280" s="2">
        <v>34</v>
      </c>
      <c r="F1280">
        <v>0</v>
      </c>
      <c r="G1280">
        <v>34</v>
      </c>
      <c r="H1280">
        <v>0.2</v>
      </c>
      <c r="I1280" t="s">
        <v>32</v>
      </c>
      <c r="J1280" s="33" t="s">
        <v>140</v>
      </c>
    </row>
    <row r="1281" spans="1:10" x14ac:dyDescent="0.25">
      <c r="A1281" t="s">
        <v>29</v>
      </c>
      <c r="B1281">
        <v>2</v>
      </c>
      <c r="C1281" t="s">
        <v>30</v>
      </c>
      <c r="D1281" t="s">
        <v>36</v>
      </c>
      <c r="E1281" s="2">
        <v>35</v>
      </c>
      <c r="F1281">
        <v>0</v>
      </c>
      <c r="G1281">
        <v>35</v>
      </c>
      <c r="H1281">
        <v>14.7</v>
      </c>
      <c r="I1281" t="s">
        <v>33</v>
      </c>
      <c r="J1281" s="33" t="s">
        <v>140</v>
      </c>
    </row>
    <row r="1282" spans="1:10" x14ac:dyDescent="0.25">
      <c r="A1282" t="s">
        <v>29</v>
      </c>
      <c r="B1282">
        <v>4</v>
      </c>
      <c r="C1282" t="s">
        <v>30</v>
      </c>
      <c r="D1282" t="s">
        <v>40</v>
      </c>
      <c r="E1282" s="2">
        <v>35</v>
      </c>
      <c r="F1282">
        <v>0</v>
      </c>
      <c r="G1282">
        <v>35</v>
      </c>
      <c r="H1282">
        <v>9.1999999999999993</v>
      </c>
      <c r="I1282" t="s">
        <v>33</v>
      </c>
      <c r="J1282" s="33" t="s">
        <v>140</v>
      </c>
    </row>
    <row r="1283" spans="1:10" x14ac:dyDescent="0.25">
      <c r="A1283" t="s">
        <v>42</v>
      </c>
      <c r="B1283">
        <v>5</v>
      </c>
      <c r="C1283" t="s">
        <v>34</v>
      </c>
      <c r="D1283" t="s">
        <v>48</v>
      </c>
      <c r="E1283" s="2">
        <v>35</v>
      </c>
      <c r="F1283">
        <v>0</v>
      </c>
      <c r="G1283">
        <v>35</v>
      </c>
      <c r="H1283">
        <v>3.5</v>
      </c>
      <c r="I1283" t="s">
        <v>33</v>
      </c>
      <c r="J1283" s="33" t="s">
        <v>140</v>
      </c>
    </row>
    <row r="1284" spans="1:10" x14ac:dyDescent="0.25">
      <c r="A1284" t="s">
        <v>54</v>
      </c>
      <c r="B1284">
        <v>4</v>
      </c>
      <c r="C1284" t="s">
        <v>34</v>
      </c>
      <c r="D1284" t="s">
        <v>62</v>
      </c>
      <c r="E1284" s="2">
        <v>35</v>
      </c>
      <c r="F1284">
        <v>0</v>
      </c>
      <c r="G1284">
        <v>35</v>
      </c>
      <c r="H1284">
        <v>0.9</v>
      </c>
      <c r="I1284" t="s">
        <v>32</v>
      </c>
      <c r="J1284" s="33" t="s">
        <v>140</v>
      </c>
    </row>
    <row r="1285" spans="1:10" x14ac:dyDescent="0.25">
      <c r="A1285" t="s">
        <v>63</v>
      </c>
      <c r="B1285">
        <v>5</v>
      </c>
      <c r="C1285" t="s">
        <v>34</v>
      </c>
      <c r="D1285" t="s">
        <v>65</v>
      </c>
      <c r="E1285" s="2">
        <v>35</v>
      </c>
      <c r="F1285">
        <v>23</v>
      </c>
      <c r="G1285">
        <v>12</v>
      </c>
      <c r="H1285">
        <v>0</v>
      </c>
      <c r="I1285" t="s">
        <v>32</v>
      </c>
      <c r="J1285" s="33" t="s">
        <v>140</v>
      </c>
    </row>
    <row r="1286" spans="1:10" x14ac:dyDescent="0.25">
      <c r="A1286" t="s">
        <v>63</v>
      </c>
      <c r="B1286">
        <v>5</v>
      </c>
      <c r="C1286" t="s">
        <v>34</v>
      </c>
      <c r="D1286" t="s">
        <v>65</v>
      </c>
      <c r="E1286" s="2">
        <v>35</v>
      </c>
      <c r="F1286">
        <v>0</v>
      </c>
      <c r="G1286">
        <v>35</v>
      </c>
      <c r="H1286">
        <v>0.8</v>
      </c>
      <c r="I1286" t="s">
        <v>32</v>
      </c>
      <c r="J1286" s="33" t="s">
        <v>140</v>
      </c>
    </row>
    <row r="1287" spans="1:10" x14ac:dyDescent="0.25">
      <c r="A1287" t="s">
        <v>71</v>
      </c>
      <c r="B1287">
        <v>8</v>
      </c>
      <c r="C1287" t="s">
        <v>34</v>
      </c>
      <c r="D1287" t="s">
        <v>73</v>
      </c>
      <c r="E1287" s="2">
        <v>35</v>
      </c>
      <c r="F1287">
        <v>0</v>
      </c>
      <c r="G1287">
        <v>35</v>
      </c>
      <c r="H1287">
        <v>3.5</v>
      </c>
      <c r="I1287" t="s">
        <v>33</v>
      </c>
      <c r="J1287" s="33" t="s">
        <v>140</v>
      </c>
    </row>
    <row r="1288" spans="1:10" x14ac:dyDescent="0.25">
      <c r="A1288" t="s">
        <v>71</v>
      </c>
      <c r="B1288">
        <v>10</v>
      </c>
      <c r="C1288" t="s">
        <v>34</v>
      </c>
      <c r="D1288" t="s">
        <v>75</v>
      </c>
      <c r="E1288" s="2">
        <v>35</v>
      </c>
      <c r="F1288">
        <v>0</v>
      </c>
      <c r="G1288">
        <v>35</v>
      </c>
      <c r="H1288">
        <v>13.4</v>
      </c>
      <c r="I1288" t="s">
        <v>33</v>
      </c>
      <c r="J1288" s="33" t="s">
        <v>140</v>
      </c>
    </row>
    <row r="1289" spans="1:10" x14ac:dyDescent="0.25">
      <c r="A1289" t="s">
        <v>71</v>
      </c>
      <c r="B1289">
        <v>10</v>
      </c>
      <c r="C1289" t="s">
        <v>34</v>
      </c>
      <c r="D1289" t="s">
        <v>75</v>
      </c>
      <c r="E1289" s="2">
        <v>35</v>
      </c>
      <c r="F1289">
        <v>0</v>
      </c>
      <c r="G1289">
        <v>35</v>
      </c>
      <c r="H1289">
        <v>14.5</v>
      </c>
      <c r="I1289" t="s">
        <v>33</v>
      </c>
      <c r="J1289" s="33" t="s">
        <v>140</v>
      </c>
    </row>
    <row r="1290" spans="1:10" x14ac:dyDescent="0.25">
      <c r="A1290" t="s">
        <v>71</v>
      </c>
      <c r="B1290">
        <v>10</v>
      </c>
      <c r="C1290" t="s">
        <v>34</v>
      </c>
      <c r="D1290" t="s">
        <v>75</v>
      </c>
      <c r="E1290" s="2">
        <v>35</v>
      </c>
      <c r="F1290">
        <v>0</v>
      </c>
      <c r="G1290">
        <v>35</v>
      </c>
      <c r="H1290">
        <v>15.4</v>
      </c>
      <c r="I1290" t="s">
        <v>33</v>
      </c>
      <c r="J1290" s="33" t="s">
        <v>140</v>
      </c>
    </row>
    <row r="1291" spans="1:10" x14ac:dyDescent="0.25">
      <c r="A1291" t="s">
        <v>71</v>
      </c>
      <c r="B1291">
        <v>11</v>
      </c>
      <c r="C1291" t="s">
        <v>30</v>
      </c>
      <c r="D1291" t="s">
        <v>76</v>
      </c>
      <c r="E1291" s="2">
        <v>35</v>
      </c>
      <c r="F1291">
        <v>0</v>
      </c>
      <c r="G1291">
        <v>35</v>
      </c>
      <c r="H1291">
        <v>8.1999999999999993</v>
      </c>
      <c r="I1291" t="s">
        <v>33</v>
      </c>
      <c r="J1291" s="33" t="s">
        <v>140</v>
      </c>
    </row>
    <row r="1292" spans="1:10" x14ac:dyDescent="0.25">
      <c r="A1292" t="s">
        <v>29</v>
      </c>
      <c r="B1292">
        <v>1</v>
      </c>
      <c r="C1292" t="s">
        <v>30</v>
      </c>
      <c r="D1292" t="s">
        <v>31</v>
      </c>
      <c r="E1292" s="2">
        <v>36</v>
      </c>
      <c r="F1292">
        <v>0</v>
      </c>
      <c r="G1292">
        <v>36</v>
      </c>
      <c r="H1292">
        <v>1.9</v>
      </c>
      <c r="I1292" t="s">
        <v>33</v>
      </c>
      <c r="J1292" s="33" t="s">
        <v>140</v>
      </c>
    </row>
    <row r="1293" spans="1:10" x14ac:dyDescent="0.25">
      <c r="A1293" t="s">
        <v>29</v>
      </c>
      <c r="B1293">
        <v>1</v>
      </c>
      <c r="C1293" t="s">
        <v>30</v>
      </c>
      <c r="D1293" t="s">
        <v>31</v>
      </c>
      <c r="E1293" s="2">
        <v>36</v>
      </c>
      <c r="F1293">
        <v>0</v>
      </c>
      <c r="G1293">
        <v>36</v>
      </c>
      <c r="H1293">
        <v>1.3</v>
      </c>
      <c r="I1293" t="s">
        <v>33</v>
      </c>
      <c r="J1293" s="33" t="s">
        <v>140</v>
      </c>
    </row>
    <row r="1294" spans="1:10" x14ac:dyDescent="0.25">
      <c r="A1294" t="s">
        <v>29</v>
      </c>
      <c r="B1294">
        <v>1</v>
      </c>
      <c r="C1294" t="s">
        <v>30</v>
      </c>
      <c r="D1294" t="s">
        <v>31</v>
      </c>
      <c r="E1294" s="2">
        <v>36</v>
      </c>
      <c r="F1294">
        <v>36</v>
      </c>
      <c r="G1294">
        <v>0</v>
      </c>
      <c r="H1294">
        <v>0</v>
      </c>
      <c r="I1294" t="s">
        <v>32</v>
      </c>
      <c r="J1294" s="33" t="s">
        <v>140</v>
      </c>
    </row>
    <row r="1295" spans="1:10" x14ac:dyDescent="0.25">
      <c r="A1295" t="s">
        <v>29</v>
      </c>
      <c r="B1295">
        <v>1</v>
      </c>
      <c r="C1295" t="s">
        <v>30</v>
      </c>
      <c r="D1295" t="s">
        <v>31</v>
      </c>
      <c r="E1295" s="2">
        <v>36</v>
      </c>
      <c r="F1295">
        <v>0</v>
      </c>
      <c r="G1295">
        <v>36</v>
      </c>
      <c r="H1295">
        <v>12.8</v>
      </c>
      <c r="I1295" t="s">
        <v>33</v>
      </c>
      <c r="J1295" s="33" t="s">
        <v>140</v>
      </c>
    </row>
    <row r="1296" spans="1:10" x14ac:dyDescent="0.25">
      <c r="A1296" t="s">
        <v>29</v>
      </c>
      <c r="B1296">
        <v>1</v>
      </c>
      <c r="C1296" t="s">
        <v>34</v>
      </c>
      <c r="D1296" t="s">
        <v>35</v>
      </c>
      <c r="E1296" s="2">
        <v>36</v>
      </c>
      <c r="F1296">
        <v>0</v>
      </c>
      <c r="G1296">
        <v>36</v>
      </c>
      <c r="H1296">
        <v>1.3</v>
      </c>
      <c r="I1296" t="s">
        <v>33</v>
      </c>
      <c r="J1296" s="33" t="s">
        <v>140</v>
      </c>
    </row>
    <row r="1297" spans="1:10" x14ac:dyDescent="0.25">
      <c r="A1297" t="s">
        <v>29</v>
      </c>
      <c r="B1297">
        <v>1</v>
      </c>
      <c r="C1297" t="s">
        <v>34</v>
      </c>
      <c r="D1297" t="s">
        <v>35</v>
      </c>
      <c r="E1297" s="2">
        <v>36</v>
      </c>
      <c r="F1297">
        <v>23</v>
      </c>
      <c r="G1297">
        <v>13</v>
      </c>
      <c r="H1297">
        <v>0</v>
      </c>
      <c r="I1297" t="s">
        <v>32</v>
      </c>
      <c r="J1297" s="33" t="s">
        <v>140</v>
      </c>
    </row>
    <row r="1298" spans="1:10" x14ac:dyDescent="0.25">
      <c r="A1298" t="s">
        <v>29</v>
      </c>
      <c r="B1298">
        <v>4</v>
      </c>
      <c r="C1298" t="s">
        <v>30</v>
      </c>
      <c r="D1298" t="s">
        <v>40</v>
      </c>
      <c r="E1298" s="2">
        <v>36</v>
      </c>
      <c r="F1298">
        <v>0</v>
      </c>
      <c r="G1298">
        <v>36</v>
      </c>
      <c r="H1298">
        <v>12</v>
      </c>
      <c r="I1298" t="s">
        <v>33</v>
      </c>
      <c r="J1298" s="33" t="s">
        <v>140</v>
      </c>
    </row>
    <row r="1299" spans="1:10" x14ac:dyDescent="0.25">
      <c r="A1299" t="s">
        <v>52</v>
      </c>
      <c r="B1299">
        <v>4</v>
      </c>
      <c r="C1299" t="s">
        <v>34</v>
      </c>
      <c r="D1299" t="s">
        <v>53</v>
      </c>
      <c r="E1299" s="2">
        <v>36</v>
      </c>
      <c r="F1299">
        <v>0</v>
      </c>
      <c r="G1299">
        <v>36</v>
      </c>
      <c r="H1299">
        <v>16.8</v>
      </c>
      <c r="I1299" t="s">
        <v>33</v>
      </c>
      <c r="J1299" s="33" t="s">
        <v>140</v>
      </c>
    </row>
    <row r="1300" spans="1:10" x14ac:dyDescent="0.25">
      <c r="A1300" t="s">
        <v>54</v>
      </c>
      <c r="B1300">
        <v>4</v>
      </c>
      <c r="C1300" t="s">
        <v>30</v>
      </c>
      <c r="D1300" t="s">
        <v>61</v>
      </c>
      <c r="E1300" s="2">
        <v>36</v>
      </c>
      <c r="F1300">
        <v>0</v>
      </c>
      <c r="G1300">
        <v>36</v>
      </c>
      <c r="H1300">
        <v>8.8000000000000007</v>
      </c>
      <c r="I1300" t="s">
        <v>33</v>
      </c>
      <c r="J1300" s="33" t="s">
        <v>140</v>
      </c>
    </row>
    <row r="1301" spans="1:10" x14ac:dyDescent="0.25">
      <c r="A1301" t="s">
        <v>63</v>
      </c>
      <c r="B1301">
        <v>5</v>
      </c>
      <c r="C1301" t="s">
        <v>34</v>
      </c>
      <c r="D1301" t="s">
        <v>65</v>
      </c>
      <c r="E1301" s="2">
        <v>36</v>
      </c>
      <c r="F1301">
        <v>0</v>
      </c>
      <c r="G1301">
        <v>36</v>
      </c>
      <c r="H1301">
        <v>1.4</v>
      </c>
      <c r="I1301" t="s">
        <v>33</v>
      </c>
      <c r="J1301" s="33" t="s">
        <v>140</v>
      </c>
    </row>
    <row r="1302" spans="1:10" x14ac:dyDescent="0.25">
      <c r="A1302" t="s">
        <v>63</v>
      </c>
      <c r="B1302">
        <v>5</v>
      </c>
      <c r="C1302" t="s">
        <v>34</v>
      </c>
      <c r="D1302" t="s">
        <v>65</v>
      </c>
      <c r="E1302" s="2">
        <v>36</v>
      </c>
      <c r="F1302">
        <v>0</v>
      </c>
      <c r="G1302">
        <v>36</v>
      </c>
      <c r="H1302">
        <v>2</v>
      </c>
      <c r="I1302" t="s">
        <v>33</v>
      </c>
      <c r="J1302" s="33" t="s">
        <v>140</v>
      </c>
    </row>
    <row r="1303" spans="1:10" x14ac:dyDescent="0.25">
      <c r="A1303" t="s">
        <v>63</v>
      </c>
      <c r="B1303">
        <v>5</v>
      </c>
      <c r="C1303" t="s">
        <v>34</v>
      </c>
      <c r="D1303" t="s">
        <v>65</v>
      </c>
      <c r="E1303" s="2">
        <v>36</v>
      </c>
      <c r="F1303">
        <v>0</v>
      </c>
      <c r="G1303">
        <v>36</v>
      </c>
      <c r="H1303">
        <v>0.7</v>
      </c>
      <c r="I1303" t="s">
        <v>32</v>
      </c>
      <c r="J1303" s="33" t="s">
        <v>140</v>
      </c>
    </row>
    <row r="1304" spans="1:10" x14ac:dyDescent="0.25">
      <c r="A1304" t="s">
        <v>63</v>
      </c>
      <c r="B1304">
        <v>5</v>
      </c>
      <c r="C1304" t="s">
        <v>34</v>
      </c>
      <c r="D1304" t="s">
        <v>65</v>
      </c>
      <c r="E1304" s="2">
        <v>36</v>
      </c>
      <c r="F1304">
        <v>0</v>
      </c>
      <c r="G1304">
        <v>36</v>
      </c>
      <c r="H1304">
        <v>0.4</v>
      </c>
      <c r="I1304" t="s">
        <v>32</v>
      </c>
      <c r="J1304" s="33" t="s">
        <v>140</v>
      </c>
    </row>
    <row r="1305" spans="1:10" x14ac:dyDescent="0.25">
      <c r="A1305" t="s">
        <v>68</v>
      </c>
      <c r="B1305">
        <v>6</v>
      </c>
      <c r="C1305" t="s">
        <v>34</v>
      </c>
      <c r="D1305" t="s">
        <v>70</v>
      </c>
      <c r="E1305" s="2">
        <v>36</v>
      </c>
      <c r="F1305">
        <v>0</v>
      </c>
      <c r="G1305">
        <v>36</v>
      </c>
      <c r="H1305">
        <v>13.4</v>
      </c>
      <c r="I1305" t="s">
        <v>33</v>
      </c>
      <c r="J1305" s="33" t="s">
        <v>140</v>
      </c>
    </row>
    <row r="1306" spans="1:10" x14ac:dyDescent="0.25">
      <c r="A1306" t="s">
        <v>29</v>
      </c>
      <c r="B1306">
        <v>1</v>
      </c>
      <c r="C1306" t="s">
        <v>34</v>
      </c>
      <c r="D1306" t="s">
        <v>35</v>
      </c>
      <c r="E1306" s="2">
        <v>37</v>
      </c>
      <c r="F1306">
        <v>0</v>
      </c>
      <c r="G1306">
        <v>37</v>
      </c>
      <c r="H1306">
        <v>0.6</v>
      </c>
      <c r="I1306" t="s">
        <v>32</v>
      </c>
      <c r="J1306" s="33" t="s">
        <v>140</v>
      </c>
    </row>
    <row r="1307" spans="1:10" x14ac:dyDescent="0.25">
      <c r="A1307" t="s">
        <v>29</v>
      </c>
      <c r="B1307">
        <v>1</v>
      </c>
      <c r="C1307" t="s">
        <v>34</v>
      </c>
      <c r="D1307" t="s">
        <v>35</v>
      </c>
      <c r="E1307" s="2">
        <v>37</v>
      </c>
      <c r="F1307">
        <v>0</v>
      </c>
      <c r="G1307">
        <v>37</v>
      </c>
      <c r="H1307">
        <v>1.5</v>
      </c>
      <c r="I1307" t="s">
        <v>33</v>
      </c>
      <c r="J1307" s="33" t="s">
        <v>140</v>
      </c>
    </row>
    <row r="1308" spans="1:10" x14ac:dyDescent="0.25">
      <c r="A1308" t="s">
        <v>29</v>
      </c>
      <c r="B1308">
        <v>2</v>
      </c>
      <c r="C1308" t="s">
        <v>30</v>
      </c>
      <c r="D1308" t="s">
        <v>36</v>
      </c>
      <c r="E1308" s="2">
        <v>37</v>
      </c>
      <c r="F1308">
        <v>0</v>
      </c>
      <c r="G1308">
        <v>37</v>
      </c>
      <c r="H1308">
        <v>1</v>
      </c>
      <c r="I1308" t="s">
        <v>33</v>
      </c>
      <c r="J1308" s="33" t="s">
        <v>140</v>
      </c>
    </row>
    <row r="1309" spans="1:10" x14ac:dyDescent="0.25">
      <c r="A1309" t="s">
        <v>29</v>
      </c>
      <c r="B1309">
        <v>2</v>
      </c>
      <c r="C1309" t="s">
        <v>30</v>
      </c>
      <c r="D1309" t="s">
        <v>36</v>
      </c>
      <c r="E1309" s="2">
        <v>37</v>
      </c>
      <c r="F1309">
        <v>0</v>
      </c>
      <c r="G1309">
        <v>37</v>
      </c>
      <c r="H1309">
        <v>2.1</v>
      </c>
      <c r="I1309" t="s">
        <v>33</v>
      </c>
      <c r="J1309" s="33" t="s">
        <v>140</v>
      </c>
    </row>
    <row r="1310" spans="1:10" x14ac:dyDescent="0.25">
      <c r="A1310" t="s">
        <v>29</v>
      </c>
      <c r="B1310">
        <v>2</v>
      </c>
      <c r="C1310" t="s">
        <v>30</v>
      </c>
      <c r="D1310" t="s">
        <v>36</v>
      </c>
      <c r="E1310" s="2">
        <v>37</v>
      </c>
      <c r="F1310">
        <v>0</v>
      </c>
      <c r="G1310">
        <v>37</v>
      </c>
      <c r="H1310">
        <v>9.9</v>
      </c>
      <c r="I1310" t="s">
        <v>33</v>
      </c>
      <c r="J1310" s="33" t="s">
        <v>140</v>
      </c>
    </row>
    <row r="1311" spans="1:10" x14ac:dyDescent="0.25">
      <c r="A1311" t="s">
        <v>29</v>
      </c>
      <c r="B1311">
        <v>3</v>
      </c>
      <c r="C1311" t="s">
        <v>34</v>
      </c>
      <c r="D1311" t="s">
        <v>39</v>
      </c>
      <c r="E1311" s="2">
        <v>37</v>
      </c>
      <c r="F1311">
        <v>0</v>
      </c>
      <c r="G1311">
        <v>37</v>
      </c>
      <c r="H1311">
        <v>12.1</v>
      </c>
      <c r="I1311" t="s">
        <v>33</v>
      </c>
      <c r="J1311" s="33" t="s">
        <v>140</v>
      </c>
    </row>
    <row r="1312" spans="1:10" x14ac:dyDescent="0.25">
      <c r="A1312" t="s">
        <v>29</v>
      </c>
      <c r="B1312">
        <v>4</v>
      </c>
      <c r="C1312" t="s">
        <v>30</v>
      </c>
      <c r="D1312" t="s">
        <v>40</v>
      </c>
      <c r="E1312" s="2">
        <v>37</v>
      </c>
      <c r="F1312">
        <v>0</v>
      </c>
      <c r="G1312">
        <v>37</v>
      </c>
      <c r="H1312">
        <v>9.8000000000000007</v>
      </c>
      <c r="I1312" t="s">
        <v>33</v>
      </c>
      <c r="J1312" s="33" t="s">
        <v>140</v>
      </c>
    </row>
    <row r="1313" spans="1:10" x14ac:dyDescent="0.25">
      <c r="A1313" t="s">
        <v>29</v>
      </c>
      <c r="B1313">
        <v>4</v>
      </c>
      <c r="C1313" t="s">
        <v>30</v>
      </c>
      <c r="D1313" t="s">
        <v>40</v>
      </c>
      <c r="E1313" s="2">
        <v>37</v>
      </c>
      <c r="F1313">
        <v>0</v>
      </c>
      <c r="G1313">
        <v>37</v>
      </c>
      <c r="H1313">
        <v>13.1</v>
      </c>
      <c r="I1313" t="s">
        <v>33</v>
      </c>
      <c r="J1313" s="33" t="s">
        <v>140</v>
      </c>
    </row>
    <row r="1314" spans="1:10" x14ac:dyDescent="0.25">
      <c r="A1314" t="s">
        <v>42</v>
      </c>
      <c r="B1314">
        <v>3</v>
      </c>
      <c r="C1314" t="s">
        <v>34</v>
      </c>
      <c r="D1314" t="s">
        <v>50</v>
      </c>
      <c r="E1314" s="2">
        <v>37</v>
      </c>
      <c r="F1314">
        <v>0</v>
      </c>
      <c r="G1314">
        <v>37</v>
      </c>
      <c r="H1314">
        <v>16.2</v>
      </c>
      <c r="I1314" t="s">
        <v>33</v>
      </c>
      <c r="J1314" s="33" t="s">
        <v>140</v>
      </c>
    </row>
    <row r="1315" spans="1:10" x14ac:dyDescent="0.25">
      <c r="A1315" t="s">
        <v>52</v>
      </c>
      <c r="B1315">
        <v>4</v>
      </c>
      <c r="C1315" t="s">
        <v>34</v>
      </c>
      <c r="D1315" t="s">
        <v>53</v>
      </c>
      <c r="E1315" s="2">
        <v>37</v>
      </c>
      <c r="F1315">
        <v>0</v>
      </c>
      <c r="G1315">
        <v>37</v>
      </c>
      <c r="H1315">
        <v>7.1</v>
      </c>
      <c r="I1315" t="s">
        <v>33</v>
      </c>
      <c r="J1315" s="33" t="s">
        <v>140</v>
      </c>
    </row>
    <row r="1316" spans="1:10" x14ac:dyDescent="0.25">
      <c r="A1316" t="s">
        <v>54</v>
      </c>
      <c r="B1316">
        <v>1</v>
      </c>
      <c r="C1316" t="s">
        <v>30</v>
      </c>
      <c r="D1316" t="s">
        <v>55</v>
      </c>
      <c r="E1316" s="2">
        <v>37</v>
      </c>
      <c r="F1316">
        <v>0</v>
      </c>
      <c r="G1316">
        <v>37</v>
      </c>
      <c r="H1316">
        <v>18.7</v>
      </c>
      <c r="I1316" t="s">
        <v>33</v>
      </c>
      <c r="J1316" s="33" t="s">
        <v>140</v>
      </c>
    </row>
    <row r="1317" spans="1:10" x14ac:dyDescent="0.25">
      <c r="A1317" t="s">
        <v>54</v>
      </c>
      <c r="B1317">
        <v>1</v>
      </c>
      <c r="C1317" t="s">
        <v>30</v>
      </c>
      <c r="D1317" t="s">
        <v>55</v>
      </c>
      <c r="E1317" s="2">
        <v>37</v>
      </c>
      <c r="F1317">
        <v>0</v>
      </c>
      <c r="G1317">
        <v>37</v>
      </c>
      <c r="H1317">
        <v>3.6</v>
      </c>
      <c r="I1317" t="s">
        <v>33</v>
      </c>
      <c r="J1317" s="33" t="s">
        <v>140</v>
      </c>
    </row>
    <row r="1318" spans="1:10" x14ac:dyDescent="0.25">
      <c r="A1318" t="s">
        <v>68</v>
      </c>
      <c r="B1318">
        <v>6</v>
      </c>
      <c r="C1318" t="s">
        <v>34</v>
      </c>
      <c r="D1318" t="s">
        <v>70</v>
      </c>
      <c r="E1318" s="2">
        <v>37</v>
      </c>
      <c r="F1318">
        <v>0</v>
      </c>
      <c r="G1318">
        <v>37</v>
      </c>
      <c r="H1318">
        <v>1.7</v>
      </c>
      <c r="I1318" t="s">
        <v>33</v>
      </c>
      <c r="J1318" s="33" t="s">
        <v>140</v>
      </c>
    </row>
    <row r="1319" spans="1:10" x14ac:dyDescent="0.25">
      <c r="A1319" t="s">
        <v>29</v>
      </c>
      <c r="B1319">
        <v>1</v>
      </c>
      <c r="C1319" t="s">
        <v>34</v>
      </c>
      <c r="D1319" t="s">
        <v>35</v>
      </c>
      <c r="E1319" s="2">
        <v>38</v>
      </c>
      <c r="F1319">
        <v>0</v>
      </c>
      <c r="G1319">
        <v>38</v>
      </c>
      <c r="H1319">
        <v>7</v>
      </c>
      <c r="I1319" t="s">
        <v>33</v>
      </c>
      <c r="J1319" s="33" t="s">
        <v>140</v>
      </c>
    </row>
    <row r="1320" spans="1:10" x14ac:dyDescent="0.25">
      <c r="A1320" t="s">
        <v>29</v>
      </c>
      <c r="B1320">
        <v>3</v>
      </c>
      <c r="C1320" t="s">
        <v>30</v>
      </c>
      <c r="D1320" t="s">
        <v>38</v>
      </c>
      <c r="E1320" s="2">
        <v>38</v>
      </c>
      <c r="F1320">
        <v>0</v>
      </c>
      <c r="G1320">
        <v>38</v>
      </c>
      <c r="H1320">
        <v>5.8</v>
      </c>
      <c r="I1320" t="s">
        <v>33</v>
      </c>
      <c r="J1320" s="33" t="s">
        <v>140</v>
      </c>
    </row>
    <row r="1321" spans="1:10" x14ac:dyDescent="0.25">
      <c r="A1321" t="s">
        <v>29</v>
      </c>
      <c r="B1321">
        <v>4</v>
      </c>
      <c r="C1321" t="s">
        <v>30</v>
      </c>
      <c r="D1321" t="s">
        <v>40</v>
      </c>
      <c r="E1321" s="2">
        <v>38</v>
      </c>
      <c r="F1321">
        <v>0</v>
      </c>
      <c r="G1321">
        <v>38</v>
      </c>
      <c r="H1321">
        <v>16.5</v>
      </c>
      <c r="I1321" t="s">
        <v>33</v>
      </c>
      <c r="J1321" s="33" t="s">
        <v>140</v>
      </c>
    </row>
    <row r="1322" spans="1:10" x14ac:dyDescent="0.25">
      <c r="A1322" t="s">
        <v>42</v>
      </c>
      <c r="B1322">
        <v>2</v>
      </c>
      <c r="C1322" t="s">
        <v>30</v>
      </c>
      <c r="D1322" t="s">
        <v>45</v>
      </c>
      <c r="E1322" s="2">
        <v>38</v>
      </c>
      <c r="F1322">
        <v>38</v>
      </c>
      <c r="G1322">
        <v>0</v>
      </c>
      <c r="H1322">
        <v>0</v>
      </c>
      <c r="I1322" t="s">
        <v>32</v>
      </c>
      <c r="J1322" s="33" t="s">
        <v>140</v>
      </c>
    </row>
    <row r="1323" spans="1:10" x14ac:dyDescent="0.25">
      <c r="A1323" t="s">
        <v>42</v>
      </c>
      <c r="B1323">
        <v>5</v>
      </c>
      <c r="C1323" t="s">
        <v>34</v>
      </c>
      <c r="D1323" t="s">
        <v>48</v>
      </c>
      <c r="E1323" s="2">
        <v>38</v>
      </c>
      <c r="F1323">
        <v>0</v>
      </c>
      <c r="G1323">
        <v>38</v>
      </c>
      <c r="H1323">
        <v>6.4</v>
      </c>
      <c r="I1323" t="s">
        <v>33</v>
      </c>
      <c r="J1323" s="33" t="s">
        <v>140</v>
      </c>
    </row>
    <row r="1324" spans="1:10" x14ac:dyDescent="0.25">
      <c r="A1324" t="s">
        <v>42</v>
      </c>
      <c r="B1324">
        <v>4</v>
      </c>
      <c r="C1324" t="s">
        <v>30</v>
      </c>
      <c r="D1324" t="s">
        <v>51</v>
      </c>
      <c r="E1324" s="2">
        <v>38</v>
      </c>
      <c r="F1324">
        <v>0</v>
      </c>
      <c r="G1324">
        <v>38</v>
      </c>
      <c r="H1324">
        <v>9.1</v>
      </c>
      <c r="I1324" t="s">
        <v>33</v>
      </c>
      <c r="J1324" s="33" t="s">
        <v>140</v>
      </c>
    </row>
    <row r="1325" spans="1:10" x14ac:dyDescent="0.25">
      <c r="A1325" t="s">
        <v>63</v>
      </c>
      <c r="B1325">
        <v>5</v>
      </c>
      <c r="C1325" t="s">
        <v>30</v>
      </c>
      <c r="D1325" t="s">
        <v>64</v>
      </c>
      <c r="E1325" s="2">
        <v>38</v>
      </c>
      <c r="F1325">
        <v>0</v>
      </c>
      <c r="G1325">
        <v>38</v>
      </c>
      <c r="H1325">
        <v>12.5</v>
      </c>
      <c r="I1325" t="s">
        <v>33</v>
      </c>
      <c r="J1325" s="33" t="s">
        <v>140</v>
      </c>
    </row>
    <row r="1326" spans="1:10" x14ac:dyDescent="0.25">
      <c r="A1326" t="s">
        <v>63</v>
      </c>
      <c r="B1326">
        <v>5</v>
      </c>
      <c r="C1326" t="s">
        <v>34</v>
      </c>
      <c r="D1326" t="s">
        <v>65</v>
      </c>
      <c r="E1326" s="2">
        <v>38</v>
      </c>
      <c r="F1326">
        <v>0</v>
      </c>
      <c r="G1326">
        <v>38</v>
      </c>
      <c r="H1326">
        <v>1.4</v>
      </c>
      <c r="I1326" t="s">
        <v>33</v>
      </c>
      <c r="J1326" s="33" t="s">
        <v>140</v>
      </c>
    </row>
    <row r="1327" spans="1:10" x14ac:dyDescent="0.25">
      <c r="A1327" t="s">
        <v>68</v>
      </c>
      <c r="B1327">
        <v>6</v>
      </c>
      <c r="C1327" t="s">
        <v>34</v>
      </c>
      <c r="D1327" t="s">
        <v>70</v>
      </c>
      <c r="E1327" s="2">
        <v>38</v>
      </c>
      <c r="F1327">
        <v>0</v>
      </c>
      <c r="G1327">
        <v>38</v>
      </c>
      <c r="H1327">
        <v>2.4</v>
      </c>
      <c r="I1327" t="s">
        <v>33</v>
      </c>
      <c r="J1327" s="33" t="s">
        <v>140</v>
      </c>
    </row>
    <row r="1328" spans="1:10" x14ac:dyDescent="0.25">
      <c r="A1328" t="s">
        <v>29</v>
      </c>
      <c r="B1328">
        <v>1</v>
      </c>
      <c r="C1328" t="s">
        <v>34</v>
      </c>
      <c r="D1328" t="s">
        <v>35</v>
      </c>
      <c r="E1328" s="2">
        <v>39</v>
      </c>
      <c r="F1328">
        <v>0</v>
      </c>
      <c r="G1328">
        <v>39</v>
      </c>
      <c r="H1328">
        <v>1.8</v>
      </c>
      <c r="I1328" t="s">
        <v>33</v>
      </c>
      <c r="J1328" s="33" t="s">
        <v>140</v>
      </c>
    </row>
    <row r="1329" spans="1:10" x14ac:dyDescent="0.25">
      <c r="A1329" t="s">
        <v>29</v>
      </c>
      <c r="B1329">
        <v>3</v>
      </c>
      <c r="C1329" t="s">
        <v>30</v>
      </c>
      <c r="D1329" t="s">
        <v>38</v>
      </c>
      <c r="E1329" s="2">
        <v>39</v>
      </c>
      <c r="F1329">
        <v>0</v>
      </c>
      <c r="G1329">
        <v>39</v>
      </c>
      <c r="H1329">
        <v>4.5999999999999996</v>
      </c>
      <c r="I1329" t="s">
        <v>33</v>
      </c>
      <c r="J1329" s="33" t="s">
        <v>140</v>
      </c>
    </row>
    <row r="1330" spans="1:10" x14ac:dyDescent="0.25">
      <c r="A1330" t="s">
        <v>42</v>
      </c>
      <c r="B1330">
        <v>1</v>
      </c>
      <c r="C1330" t="s">
        <v>34</v>
      </c>
      <c r="D1330" t="s">
        <v>44</v>
      </c>
      <c r="E1330" s="2">
        <v>39</v>
      </c>
      <c r="F1330">
        <v>0</v>
      </c>
      <c r="G1330">
        <v>39</v>
      </c>
      <c r="H1330">
        <v>0</v>
      </c>
      <c r="I1330" t="s">
        <v>32</v>
      </c>
      <c r="J1330" s="33" t="s">
        <v>140</v>
      </c>
    </row>
    <row r="1331" spans="1:10" x14ac:dyDescent="0.25">
      <c r="A1331" t="s">
        <v>54</v>
      </c>
      <c r="B1331">
        <v>4</v>
      </c>
      <c r="C1331" t="s">
        <v>30</v>
      </c>
      <c r="D1331" t="s">
        <v>61</v>
      </c>
      <c r="E1331" s="2">
        <v>39</v>
      </c>
      <c r="F1331">
        <v>0</v>
      </c>
      <c r="G1331">
        <v>39</v>
      </c>
      <c r="H1331">
        <v>0.9</v>
      </c>
      <c r="I1331" t="s">
        <v>32</v>
      </c>
      <c r="J1331" s="33" t="s">
        <v>140</v>
      </c>
    </row>
    <row r="1332" spans="1:10" x14ac:dyDescent="0.25">
      <c r="A1332" t="s">
        <v>54</v>
      </c>
      <c r="B1332">
        <v>4</v>
      </c>
      <c r="C1332" t="s">
        <v>30</v>
      </c>
      <c r="D1332" t="s">
        <v>61</v>
      </c>
      <c r="E1332" s="2">
        <v>39</v>
      </c>
      <c r="F1332">
        <v>0</v>
      </c>
      <c r="G1332">
        <v>39</v>
      </c>
      <c r="H1332">
        <v>1.3</v>
      </c>
      <c r="I1332" t="s">
        <v>33</v>
      </c>
      <c r="J1332" s="33" t="s">
        <v>140</v>
      </c>
    </row>
    <row r="1333" spans="1:10" x14ac:dyDescent="0.25">
      <c r="A1333" t="s">
        <v>63</v>
      </c>
      <c r="B1333">
        <v>5</v>
      </c>
      <c r="C1333" t="s">
        <v>34</v>
      </c>
      <c r="D1333" t="s">
        <v>65</v>
      </c>
      <c r="E1333" s="2">
        <v>39</v>
      </c>
      <c r="F1333">
        <v>0</v>
      </c>
      <c r="G1333">
        <v>39</v>
      </c>
      <c r="H1333">
        <v>1.6</v>
      </c>
      <c r="I1333" t="s">
        <v>33</v>
      </c>
      <c r="J1333" s="33" t="s">
        <v>140</v>
      </c>
    </row>
    <row r="1334" spans="1:10" x14ac:dyDescent="0.25">
      <c r="A1334" t="s">
        <v>68</v>
      </c>
      <c r="B1334">
        <v>6</v>
      </c>
      <c r="C1334" t="s">
        <v>34</v>
      </c>
      <c r="D1334" t="s">
        <v>70</v>
      </c>
      <c r="E1334" s="2">
        <v>39</v>
      </c>
      <c r="F1334">
        <v>0</v>
      </c>
      <c r="G1334">
        <v>39</v>
      </c>
      <c r="H1334">
        <v>5</v>
      </c>
      <c r="I1334" t="s">
        <v>33</v>
      </c>
      <c r="J1334" s="33" t="s">
        <v>140</v>
      </c>
    </row>
    <row r="1335" spans="1:10" x14ac:dyDescent="0.25">
      <c r="A1335" t="s">
        <v>29</v>
      </c>
      <c r="B1335">
        <v>2</v>
      </c>
      <c r="C1335" t="s">
        <v>34</v>
      </c>
      <c r="D1335" t="s">
        <v>37</v>
      </c>
      <c r="E1335" s="2">
        <v>40</v>
      </c>
      <c r="F1335">
        <v>0</v>
      </c>
      <c r="G1335">
        <v>40</v>
      </c>
      <c r="H1335">
        <v>9.8000000000000007</v>
      </c>
      <c r="I1335" t="s">
        <v>33</v>
      </c>
      <c r="J1335" s="33" t="s">
        <v>140</v>
      </c>
    </row>
    <row r="1336" spans="1:10" x14ac:dyDescent="0.25">
      <c r="A1336" t="s">
        <v>42</v>
      </c>
      <c r="B1336">
        <v>5</v>
      </c>
      <c r="C1336" t="s">
        <v>30</v>
      </c>
      <c r="D1336" t="s">
        <v>47</v>
      </c>
      <c r="E1336" s="2">
        <v>40</v>
      </c>
      <c r="F1336">
        <v>0</v>
      </c>
      <c r="G1336">
        <v>40</v>
      </c>
      <c r="H1336">
        <v>5</v>
      </c>
      <c r="I1336" t="s">
        <v>33</v>
      </c>
      <c r="J1336" s="33" t="s">
        <v>140</v>
      </c>
    </row>
    <row r="1337" spans="1:10" x14ac:dyDescent="0.25">
      <c r="A1337" t="s">
        <v>42</v>
      </c>
      <c r="B1337">
        <v>5</v>
      </c>
      <c r="C1337" t="s">
        <v>30</v>
      </c>
      <c r="D1337" t="s">
        <v>47</v>
      </c>
      <c r="E1337" s="2">
        <v>40</v>
      </c>
      <c r="F1337">
        <v>0</v>
      </c>
      <c r="G1337">
        <v>40</v>
      </c>
      <c r="H1337">
        <v>13.9</v>
      </c>
      <c r="I1337" t="s">
        <v>33</v>
      </c>
      <c r="J1337" s="33" t="s">
        <v>140</v>
      </c>
    </row>
    <row r="1338" spans="1:10" x14ac:dyDescent="0.25">
      <c r="A1338" t="s">
        <v>42</v>
      </c>
      <c r="B1338">
        <v>4</v>
      </c>
      <c r="C1338" t="s">
        <v>30</v>
      </c>
      <c r="D1338" t="s">
        <v>51</v>
      </c>
      <c r="E1338" s="2">
        <v>40</v>
      </c>
      <c r="F1338">
        <v>0</v>
      </c>
      <c r="G1338">
        <v>40</v>
      </c>
      <c r="H1338">
        <v>14.2</v>
      </c>
      <c r="I1338" t="s">
        <v>33</v>
      </c>
      <c r="J1338" s="33" t="s">
        <v>140</v>
      </c>
    </row>
    <row r="1339" spans="1:10" x14ac:dyDescent="0.25">
      <c r="A1339" t="s">
        <v>68</v>
      </c>
      <c r="B1339">
        <v>6</v>
      </c>
      <c r="C1339" t="s">
        <v>34</v>
      </c>
      <c r="D1339" t="s">
        <v>70</v>
      </c>
      <c r="E1339" s="2">
        <v>40</v>
      </c>
      <c r="F1339">
        <v>0</v>
      </c>
      <c r="G1339">
        <v>40</v>
      </c>
      <c r="H1339">
        <v>0.8</v>
      </c>
      <c r="I1339" t="s">
        <v>32</v>
      </c>
      <c r="J1339" s="33" t="s">
        <v>140</v>
      </c>
    </row>
    <row r="1340" spans="1:10" x14ac:dyDescent="0.25">
      <c r="A1340" t="s">
        <v>29</v>
      </c>
      <c r="B1340">
        <v>1</v>
      </c>
      <c r="C1340" t="s">
        <v>34</v>
      </c>
      <c r="D1340" t="s">
        <v>35</v>
      </c>
      <c r="E1340" s="2">
        <v>41</v>
      </c>
      <c r="F1340">
        <v>0</v>
      </c>
      <c r="G1340">
        <v>41</v>
      </c>
      <c r="H1340">
        <v>4.3</v>
      </c>
      <c r="I1340" t="s">
        <v>33</v>
      </c>
      <c r="J1340" s="33" t="s">
        <v>141</v>
      </c>
    </row>
    <row r="1341" spans="1:10" x14ac:dyDescent="0.25">
      <c r="A1341" t="s">
        <v>29</v>
      </c>
      <c r="B1341">
        <v>2</v>
      </c>
      <c r="C1341" t="s">
        <v>30</v>
      </c>
      <c r="D1341" t="s">
        <v>36</v>
      </c>
      <c r="E1341" s="2">
        <v>41</v>
      </c>
      <c r="F1341">
        <v>0</v>
      </c>
      <c r="G1341">
        <v>41</v>
      </c>
      <c r="H1341">
        <v>6.9</v>
      </c>
      <c r="I1341" t="s">
        <v>33</v>
      </c>
      <c r="J1341" s="33" t="s">
        <v>141</v>
      </c>
    </row>
    <row r="1342" spans="1:10" x14ac:dyDescent="0.25">
      <c r="A1342" t="s">
        <v>29</v>
      </c>
      <c r="B1342">
        <v>3</v>
      </c>
      <c r="C1342" t="s">
        <v>30</v>
      </c>
      <c r="D1342" t="s">
        <v>38</v>
      </c>
      <c r="E1342" s="2">
        <v>41</v>
      </c>
      <c r="F1342">
        <v>0</v>
      </c>
      <c r="G1342">
        <v>41</v>
      </c>
      <c r="H1342">
        <v>11</v>
      </c>
      <c r="I1342" t="s">
        <v>33</v>
      </c>
      <c r="J1342" s="33" t="s">
        <v>141</v>
      </c>
    </row>
    <row r="1343" spans="1:10" x14ac:dyDescent="0.25">
      <c r="A1343" t="s">
        <v>29</v>
      </c>
      <c r="B1343">
        <v>4</v>
      </c>
      <c r="C1343" t="s">
        <v>34</v>
      </c>
      <c r="D1343" t="s">
        <v>41</v>
      </c>
      <c r="E1343" s="2">
        <v>41</v>
      </c>
      <c r="F1343">
        <v>0</v>
      </c>
      <c r="G1343">
        <v>41</v>
      </c>
      <c r="H1343">
        <v>1.9</v>
      </c>
      <c r="I1343" t="s">
        <v>33</v>
      </c>
      <c r="J1343" s="33" t="s">
        <v>141</v>
      </c>
    </row>
    <row r="1344" spans="1:10" x14ac:dyDescent="0.25">
      <c r="A1344" t="s">
        <v>42</v>
      </c>
      <c r="B1344">
        <v>2</v>
      </c>
      <c r="C1344" t="s">
        <v>30</v>
      </c>
      <c r="D1344" t="s">
        <v>45</v>
      </c>
      <c r="E1344" s="2">
        <v>41</v>
      </c>
      <c r="F1344">
        <v>0</v>
      </c>
      <c r="G1344">
        <v>41</v>
      </c>
      <c r="H1344">
        <v>14.3</v>
      </c>
      <c r="I1344" t="s">
        <v>33</v>
      </c>
      <c r="J1344" s="33" t="s">
        <v>141</v>
      </c>
    </row>
    <row r="1345" spans="1:10" x14ac:dyDescent="0.25">
      <c r="A1345" t="s">
        <v>42</v>
      </c>
      <c r="B1345">
        <v>4</v>
      </c>
      <c r="C1345" t="s">
        <v>30</v>
      </c>
      <c r="D1345" t="s">
        <v>51</v>
      </c>
      <c r="E1345" s="2">
        <v>41</v>
      </c>
      <c r="F1345">
        <v>0</v>
      </c>
      <c r="G1345">
        <v>41</v>
      </c>
      <c r="H1345">
        <v>12</v>
      </c>
      <c r="I1345" t="s">
        <v>33</v>
      </c>
      <c r="J1345" s="33" t="s">
        <v>141</v>
      </c>
    </row>
    <row r="1346" spans="1:10" x14ac:dyDescent="0.25">
      <c r="A1346" t="s">
        <v>54</v>
      </c>
      <c r="B1346">
        <v>4</v>
      </c>
      <c r="C1346" t="s">
        <v>34</v>
      </c>
      <c r="D1346" t="s">
        <v>62</v>
      </c>
      <c r="E1346" s="2">
        <v>41</v>
      </c>
      <c r="F1346">
        <v>0</v>
      </c>
      <c r="G1346">
        <v>41</v>
      </c>
      <c r="H1346">
        <v>1.2</v>
      </c>
      <c r="I1346" t="s">
        <v>33</v>
      </c>
      <c r="J1346" s="33" t="s">
        <v>141</v>
      </c>
    </row>
    <row r="1347" spans="1:10" x14ac:dyDescent="0.25">
      <c r="A1347" t="s">
        <v>63</v>
      </c>
      <c r="B1347">
        <v>5</v>
      </c>
      <c r="C1347" t="s">
        <v>30</v>
      </c>
      <c r="D1347" t="s">
        <v>64</v>
      </c>
      <c r="E1347" s="2">
        <v>41</v>
      </c>
      <c r="F1347">
        <v>0</v>
      </c>
      <c r="G1347">
        <v>41</v>
      </c>
      <c r="H1347">
        <v>8.1</v>
      </c>
      <c r="I1347" t="s">
        <v>33</v>
      </c>
      <c r="J1347" s="33" t="s">
        <v>141</v>
      </c>
    </row>
    <row r="1348" spans="1:10" x14ac:dyDescent="0.25">
      <c r="A1348" t="s">
        <v>63</v>
      </c>
      <c r="B1348">
        <v>5</v>
      </c>
      <c r="C1348" t="s">
        <v>34</v>
      </c>
      <c r="D1348" t="s">
        <v>65</v>
      </c>
      <c r="E1348" s="2">
        <v>41</v>
      </c>
      <c r="F1348">
        <v>0</v>
      </c>
      <c r="G1348">
        <v>41</v>
      </c>
      <c r="H1348">
        <v>0.7</v>
      </c>
      <c r="I1348" t="s">
        <v>32</v>
      </c>
      <c r="J1348" s="33" t="s">
        <v>141</v>
      </c>
    </row>
    <row r="1349" spans="1:10" x14ac:dyDescent="0.25">
      <c r="A1349" t="s">
        <v>29</v>
      </c>
      <c r="B1349">
        <v>1</v>
      </c>
      <c r="C1349" t="s">
        <v>30</v>
      </c>
      <c r="D1349" t="s">
        <v>31</v>
      </c>
      <c r="E1349" s="2">
        <v>42</v>
      </c>
      <c r="F1349">
        <v>0</v>
      </c>
      <c r="G1349">
        <v>42</v>
      </c>
      <c r="H1349">
        <v>9</v>
      </c>
      <c r="I1349" t="s">
        <v>33</v>
      </c>
      <c r="J1349" s="33" t="s">
        <v>141</v>
      </c>
    </row>
    <row r="1350" spans="1:10" x14ac:dyDescent="0.25">
      <c r="A1350" t="s">
        <v>29</v>
      </c>
      <c r="B1350">
        <v>1</v>
      </c>
      <c r="C1350" t="s">
        <v>34</v>
      </c>
      <c r="D1350" t="s">
        <v>35</v>
      </c>
      <c r="E1350" s="2">
        <v>42</v>
      </c>
      <c r="F1350">
        <v>0</v>
      </c>
      <c r="G1350">
        <v>42</v>
      </c>
      <c r="H1350">
        <v>2.4</v>
      </c>
      <c r="I1350" t="s">
        <v>33</v>
      </c>
      <c r="J1350" s="33" t="s">
        <v>141</v>
      </c>
    </row>
    <row r="1351" spans="1:10" x14ac:dyDescent="0.25">
      <c r="A1351" t="s">
        <v>29</v>
      </c>
      <c r="B1351">
        <v>1</v>
      </c>
      <c r="C1351" t="s">
        <v>34</v>
      </c>
      <c r="D1351" t="s">
        <v>35</v>
      </c>
      <c r="E1351" s="2">
        <v>42</v>
      </c>
      <c r="F1351">
        <v>0</v>
      </c>
      <c r="G1351">
        <v>42</v>
      </c>
      <c r="H1351">
        <v>0.8</v>
      </c>
      <c r="I1351" t="s">
        <v>32</v>
      </c>
      <c r="J1351" s="33" t="s">
        <v>141</v>
      </c>
    </row>
    <row r="1352" spans="1:10" x14ac:dyDescent="0.25">
      <c r="A1352" t="s">
        <v>29</v>
      </c>
      <c r="B1352">
        <v>2</v>
      </c>
      <c r="C1352" t="s">
        <v>30</v>
      </c>
      <c r="D1352" t="s">
        <v>36</v>
      </c>
      <c r="E1352" s="2">
        <v>42</v>
      </c>
      <c r="F1352">
        <v>0</v>
      </c>
      <c r="G1352">
        <v>42</v>
      </c>
      <c r="H1352">
        <v>0.7</v>
      </c>
      <c r="I1352" t="s">
        <v>32</v>
      </c>
      <c r="J1352" s="33" t="s">
        <v>141</v>
      </c>
    </row>
    <row r="1353" spans="1:10" x14ac:dyDescent="0.25">
      <c r="A1353" t="s">
        <v>29</v>
      </c>
      <c r="B1353">
        <v>2</v>
      </c>
      <c r="C1353" t="s">
        <v>30</v>
      </c>
      <c r="D1353" t="s">
        <v>36</v>
      </c>
      <c r="E1353" s="2">
        <v>42</v>
      </c>
      <c r="F1353">
        <v>33</v>
      </c>
      <c r="G1353">
        <v>9</v>
      </c>
      <c r="H1353">
        <v>0</v>
      </c>
      <c r="I1353" t="s">
        <v>32</v>
      </c>
      <c r="J1353" s="33" t="s">
        <v>141</v>
      </c>
    </row>
    <row r="1354" spans="1:10" x14ac:dyDescent="0.25">
      <c r="A1354" t="s">
        <v>29</v>
      </c>
      <c r="B1354">
        <v>2</v>
      </c>
      <c r="C1354" t="s">
        <v>34</v>
      </c>
      <c r="D1354" t="s">
        <v>37</v>
      </c>
      <c r="E1354" s="2">
        <v>42</v>
      </c>
      <c r="F1354">
        <v>0</v>
      </c>
      <c r="G1354">
        <v>42</v>
      </c>
      <c r="H1354">
        <v>3.9</v>
      </c>
      <c r="I1354" t="s">
        <v>33</v>
      </c>
      <c r="J1354" s="33" t="s">
        <v>141</v>
      </c>
    </row>
    <row r="1355" spans="1:10" x14ac:dyDescent="0.25">
      <c r="A1355" t="s">
        <v>29</v>
      </c>
      <c r="B1355">
        <v>2</v>
      </c>
      <c r="C1355" t="s">
        <v>34</v>
      </c>
      <c r="D1355" t="s">
        <v>37</v>
      </c>
      <c r="E1355" s="2">
        <v>42</v>
      </c>
      <c r="F1355">
        <v>0</v>
      </c>
      <c r="G1355">
        <v>42</v>
      </c>
      <c r="H1355">
        <v>11.5</v>
      </c>
      <c r="I1355" t="s">
        <v>33</v>
      </c>
      <c r="J1355" s="33" t="s">
        <v>141</v>
      </c>
    </row>
    <row r="1356" spans="1:10" x14ac:dyDescent="0.25">
      <c r="A1356" t="s">
        <v>29</v>
      </c>
      <c r="B1356">
        <v>3</v>
      </c>
      <c r="C1356" t="s">
        <v>30</v>
      </c>
      <c r="D1356" t="s">
        <v>38</v>
      </c>
      <c r="E1356" s="2">
        <v>42</v>
      </c>
      <c r="F1356">
        <v>0</v>
      </c>
      <c r="G1356">
        <v>42</v>
      </c>
      <c r="H1356">
        <v>11</v>
      </c>
      <c r="I1356" t="s">
        <v>33</v>
      </c>
      <c r="J1356" s="33" t="s">
        <v>141</v>
      </c>
    </row>
    <row r="1357" spans="1:10" x14ac:dyDescent="0.25">
      <c r="A1357" t="s">
        <v>42</v>
      </c>
      <c r="B1357">
        <v>1</v>
      </c>
      <c r="C1357" t="s">
        <v>34</v>
      </c>
      <c r="D1357" t="s">
        <v>44</v>
      </c>
      <c r="E1357" s="2">
        <v>42</v>
      </c>
      <c r="F1357">
        <v>0</v>
      </c>
      <c r="G1357">
        <v>42</v>
      </c>
      <c r="H1357">
        <v>7.8</v>
      </c>
      <c r="I1357" t="s">
        <v>33</v>
      </c>
      <c r="J1357" s="33" t="s">
        <v>141</v>
      </c>
    </row>
    <row r="1358" spans="1:10" x14ac:dyDescent="0.25">
      <c r="A1358" t="s">
        <v>42</v>
      </c>
      <c r="B1358">
        <v>3</v>
      </c>
      <c r="C1358" t="s">
        <v>34</v>
      </c>
      <c r="D1358" t="s">
        <v>50</v>
      </c>
      <c r="E1358" s="2">
        <v>42</v>
      </c>
      <c r="F1358">
        <v>0</v>
      </c>
      <c r="G1358">
        <v>42</v>
      </c>
      <c r="H1358">
        <v>0.6</v>
      </c>
      <c r="I1358" t="s">
        <v>32</v>
      </c>
      <c r="J1358" s="33" t="s">
        <v>141</v>
      </c>
    </row>
    <row r="1359" spans="1:10" x14ac:dyDescent="0.25">
      <c r="A1359" t="s">
        <v>42</v>
      </c>
      <c r="B1359">
        <v>4</v>
      </c>
      <c r="C1359" t="s">
        <v>30</v>
      </c>
      <c r="D1359" t="s">
        <v>51</v>
      </c>
      <c r="E1359" s="2">
        <v>42</v>
      </c>
      <c r="F1359">
        <v>0</v>
      </c>
      <c r="G1359">
        <v>42</v>
      </c>
      <c r="H1359">
        <v>13.3</v>
      </c>
      <c r="I1359" t="s">
        <v>33</v>
      </c>
      <c r="J1359" s="33" t="s">
        <v>141</v>
      </c>
    </row>
    <row r="1360" spans="1:10" x14ac:dyDescent="0.25">
      <c r="A1360" t="s">
        <v>52</v>
      </c>
      <c r="B1360">
        <v>4</v>
      </c>
      <c r="C1360" t="s">
        <v>34</v>
      </c>
      <c r="D1360" t="s">
        <v>53</v>
      </c>
      <c r="E1360" s="2">
        <v>42</v>
      </c>
      <c r="F1360">
        <v>0</v>
      </c>
      <c r="G1360">
        <v>42</v>
      </c>
      <c r="H1360">
        <v>15.1</v>
      </c>
      <c r="I1360" t="s">
        <v>33</v>
      </c>
      <c r="J1360" s="33" t="s">
        <v>141</v>
      </c>
    </row>
    <row r="1361" spans="1:10" x14ac:dyDescent="0.25">
      <c r="A1361" t="s">
        <v>54</v>
      </c>
      <c r="B1361">
        <v>4</v>
      </c>
      <c r="C1361" t="s">
        <v>30</v>
      </c>
      <c r="D1361" t="s">
        <v>61</v>
      </c>
      <c r="E1361" s="2">
        <v>42</v>
      </c>
      <c r="F1361">
        <v>0</v>
      </c>
      <c r="G1361">
        <v>42</v>
      </c>
      <c r="H1361">
        <v>0.4</v>
      </c>
      <c r="I1361" t="s">
        <v>32</v>
      </c>
      <c r="J1361" s="33" t="s">
        <v>141</v>
      </c>
    </row>
    <row r="1362" spans="1:10" x14ac:dyDescent="0.25">
      <c r="A1362" t="s">
        <v>71</v>
      </c>
      <c r="B1362">
        <v>10</v>
      </c>
      <c r="C1362" t="s">
        <v>30</v>
      </c>
      <c r="D1362" t="s">
        <v>74</v>
      </c>
      <c r="E1362" s="2">
        <v>42</v>
      </c>
      <c r="F1362">
        <v>0</v>
      </c>
      <c r="G1362">
        <v>42</v>
      </c>
      <c r="H1362">
        <v>14.1</v>
      </c>
      <c r="I1362" t="s">
        <v>33</v>
      </c>
      <c r="J1362" s="33" t="s">
        <v>141</v>
      </c>
    </row>
    <row r="1363" spans="1:10" x14ac:dyDescent="0.25">
      <c r="A1363" t="s">
        <v>29</v>
      </c>
      <c r="B1363">
        <v>2</v>
      </c>
      <c r="C1363" t="s">
        <v>30</v>
      </c>
      <c r="D1363" t="s">
        <v>36</v>
      </c>
      <c r="E1363" s="2">
        <v>43</v>
      </c>
      <c r="F1363">
        <v>0</v>
      </c>
      <c r="G1363">
        <v>43</v>
      </c>
      <c r="H1363">
        <v>0.9</v>
      </c>
      <c r="I1363" t="s">
        <v>32</v>
      </c>
      <c r="J1363" s="33" t="s">
        <v>141</v>
      </c>
    </row>
    <row r="1364" spans="1:10" x14ac:dyDescent="0.25">
      <c r="A1364" t="s">
        <v>29</v>
      </c>
      <c r="B1364">
        <v>2</v>
      </c>
      <c r="C1364" t="s">
        <v>30</v>
      </c>
      <c r="D1364" t="s">
        <v>36</v>
      </c>
      <c r="E1364" s="2">
        <v>43</v>
      </c>
      <c r="F1364">
        <v>0</v>
      </c>
      <c r="G1364">
        <v>43</v>
      </c>
      <c r="H1364">
        <v>1.4</v>
      </c>
      <c r="I1364" t="s">
        <v>33</v>
      </c>
      <c r="J1364" s="33" t="s">
        <v>141</v>
      </c>
    </row>
    <row r="1365" spans="1:10" x14ac:dyDescent="0.25">
      <c r="A1365" t="s">
        <v>29</v>
      </c>
      <c r="B1365">
        <v>4</v>
      </c>
      <c r="C1365" t="s">
        <v>34</v>
      </c>
      <c r="D1365" t="s">
        <v>41</v>
      </c>
      <c r="E1365" s="2">
        <v>43</v>
      </c>
      <c r="F1365">
        <v>30</v>
      </c>
      <c r="G1365">
        <v>13</v>
      </c>
      <c r="H1365">
        <v>0</v>
      </c>
      <c r="I1365" t="s">
        <v>32</v>
      </c>
      <c r="J1365" s="33" t="s">
        <v>141</v>
      </c>
    </row>
    <row r="1366" spans="1:10" x14ac:dyDescent="0.25">
      <c r="A1366" t="s">
        <v>42</v>
      </c>
      <c r="B1366">
        <v>1</v>
      </c>
      <c r="C1366" t="s">
        <v>34</v>
      </c>
      <c r="D1366" t="s">
        <v>44</v>
      </c>
      <c r="E1366" s="2">
        <v>43</v>
      </c>
      <c r="F1366">
        <v>0</v>
      </c>
      <c r="G1366">
        <v>43</v>
      </c>
      <c r="H1366">
        <v>9</v>
      </c>
      <c r="I1366" t="s">
        <v>33</v>
      </c>
      <c r="J1366" s="33" t="s">
        <v>141</v>
      </c>
    </row>
    <row r="1367" spans="1:10" x14ac:dyDescent="0.25">
      <c r="A1367" t="s">
        <v>42</v>
      </c>
      <c r="B1367">
        <v>3</v>
      </c>
      <c r="C1367" t="s">
        <v>34</v>
      </c>
      <c r="D1367" t="s">
        <v>50</v>
      </c>
      <c r="E1367" s="2">
        <v>43</v>
      </c>
      <c r="F1367">
        <v>0</v>
      </c>
      <c r="G1367">
        <v>43</v>
      </c>
      <c r="H1367">
        <v>0.2</v>
      </c>
      <c r="I1367" t="s">
        <v>32</v>
      </c>
      <c r="J1367" s="33" t="s">
        <v>141</v>
      </c>
    </row>
    <row r="1368" spans="1:10" x14ac:dyDescent="0.25">
      <c r="A1368" t="s">
        <v>54</v>
      </c>
      <c r="B1368">
        <v>4</v>
      </c>
      <c r="C1368" t="s">
        <v>30</v>
      </c>
      <c r="D1368" t="s">
        <v>61</v>
      </c>
      <c r="E1368" s="2">
        <v>43</v>
      </c>
      <c r="F1368">
        <v>0</v>
      </c>
      <c r="G1368">
        <v>43</v>
      </c>
      <c r="H1368">
        <v>1.8</v>
      </c>
      <c r="I1368" t="s">
        <v>33</v>
      </c>
      <c r="J1368" s="33" t="s">
        <v>141</v>
      </c>
    </row>
    <row r="1369" spans="1:10" x14ac:dyDescent="0.25">
      <c r="A1369" t="s">
        <v>54</v>
      </c>
      <c r="B1369">
        <v>4</v>
      </c>
      <c r="C1369" t="s">
        <v>30</v>
      </c>
      <c r="D1369" t="s">
        <v>61</v>
      </c>
      <c r="E1369" s="2">
        <v>43</v>
      </c>
      <c r="F1369">
        <v>0</v>
      </c>
      <c r="G1369">
        <v>43</v>
      </c>
      <c r="H1369">
        <v>7.4</v>
      </c>
      <c r="I1369" t="s">
        <v>33</v>
      </c>
      <c r="J1369" s="33" t="s">
        <v>141</v>
      </c>
    </row>
    <row r="1370" spans="1:10" x14ac:dyDescent="0.25">
      <c r="A1370" t="s">
        <v>63</v>
      </c>
      <c r="B1370">
        <v>5</v>
      </c>
      <c r="C1370" t="s">
        <v>34</v>
      </c>
      <c r="D1370" t="s">
        <v>65</v>
      </c>
      <c r="E1370" s="2">
        <v>43</v>
      </c>
      <c r="F1370">
        <v>0</v>
      </c>
      <c r="G1370">
        <v>43</v>
      </c>
      <c r="H1370">
        <v>2</v>
      </c>
      <c r="I1370" t="s">
        <v>33</v>
      </c>
      <c r="J1370" s="33" t="s">
        <v>141</v>
      </c>
    </row>
    <row r="1371" spans="1:10" x14ac:dyDescent="0.25">
      <c r="A1371" t="s">
        <v>29</v>
      </c>
      <c r="B1371">
        <v>1</v>
      </c>
      <c r="C1371" t="s">
        <v>34</v>
      </c>
      <c r="D1371" t="s">
        <v>35</v>
      </c>
      <c r="E1371" s="2">
        <v>44</v>
      </c>
      <c r="F1371">
        <v>0</v>
      </c>
      <c r="G1371">
        <v>44</v>
      </c>
      <c r="H1371">
        <v>14</v>
      </c>
      <c r="I1371" t="s">
        <v>33</v>
      </c>
      <c r="J1371" s="33" t="s">
        <v>141</v>
      </c>
    </row>
    <row r="1372" spans="1:10" x14ac:dyDescent="0.25">
      <c r="A1372" t="s">
        <v>29</v>
      </c>
      <c r="B1372">
        <v>2</v>
      </c>
      <c r="C1372" t="s">
        <v>34</v>
      </c>
      <c r="D1372" t="s">
        <v>37</v>
      </c>
      <c r="E1372" s="2">
        <v>44</v>
      </c>
      <c r="F1372">
        <v>0</v>
      </c>
      <c r="G1372">
        <v>44</v>
      </c>
      <c r="H1372">
        <v>3.5</v>
      </c>
      <c r="I1372" t="s">
        <v>33</v>
      </c>
      <c r="J1372" s="33" t="s">
        <v>141</v>
      </c>
    </row>
    <row r="1373" spans="1:10" x14ac:dyDescent="0.25">
      <c r="A1373" t="s">
        <v>29</v>
      </c>
      <c r="B1373">
        <v>3</v>
      </c>
      <c r="C1373" t="s">
        <v>34</v>
      </c>
      <c r="D1373" t="s">
        <v>39</v>
      </c>
      <c r="E1373" s="2">
        <v>44</v>
      </c>
      <c r="F1373">
        <v>0</v>
      </c>
      <c r="G1373">
        <v>44</v>
      </c>
      <c r="H1373">
        <v>11.6</v>
      </c>
      <c r="I1373" t="s">
        <v>33</v>
      </c>
      <c r="J1373" s="33" t="s">
        <v>141</v>
      </c>
    </row>
    <row r="1374" spans="1:10" x14ac:dyDescent="0.25">
      <c r="A1374" t="s">
        <v>29</v>
      </c>
      <c r="B1374">
        <v>3</v>
      </c>
      <c r="C1374" t="s">
        <v>34</v>
      </c>
      <c r="D1374" t="s">
        <v>39</v>
      </c>
      <c r="E1374" s="2">
        <v>44</v>
      </c>
      <c r="F1374">
        <v>0</v>
      </c>
      <c r="G1374">
        <v>44</v>
      </c>
      <c r="H1374">
        <v>11.1</v>
      </c>
      <c r="I1374" t="s">
        <v>33</v>
      </c>
      <c r="J1374" s="33" t="s">
        <v>141</v>
      </c>
    </row>
    <row r="1375" spans="1:10" x14ac:dyDescent="0.25">
      <c r="A1375" t="s">
        <v>29</v>
      </c>
      <c r="B1375">
        <v>4</v>
      </c>
      <c r="C1375" t="s">
        <v>34</v>
      </c>
      <c r="D1375" t="s">
        <v>41</v>
      </c>
      <c r="E1375" s="2">
        <v>44</v>
      </c>
      <c r="F1375">
        <v>0</v>
      </c>
      <c r="G1375">
        <v>44</v>
      </c>
      <c r="H1375">
        <v>4.5</v>
      </c>
      <c r="I1375" t="s">
        <v>33</v>
      </c>
      <c r="J1375" s="33" t="s">
        <v>141</v>
      </c>
    </row>
    <row r="1376" spans="1:10" x14ac:dyDescent="0.25">
      <c r="A1376" t="s">
        <v>42</v>
      </c>
      <c r="B1376">
        <v>1</v>
      </c>
      <c r="C1376" t="s">
        <v>34</v>
      </c>
      <c r="D1376" t="s">
        <v>44</v>
      </c>
      <c r="E1376" s="2">
        <v>44</v>
      </c>
      <c r="F1376">
        <v>0</v>
      </c>
      <c r="G1376">
        <v>44</v>
      </c>
      <c r="H1376">
        <v>9.5</v>
      </c>
      <c r="I1376" t="s">
        <v>33</v>
      </c>
      <c r="J1376" s="33" t="s">
        <v>141</v>
      </c>
    </row>
    <row r="1377" spans="1:10" x14ac:dyDescent="0.25">
      <c r="A1377" t="s">
        <v>42</v>
      </c>
      <c r="B1377">
        <v>1</v>
      </c>
      <c r="C1377" t="s">
        <v>34</v>
      </c>
      <c r="D1377" t="s">
        <v>44</v>
      </c>
      <c r="E1377" s="2">
        <v>44</v>
      </c>
      <c r="F1377">
        <v>0</v>
      </c>
      <c r="G1377">
        <v>44</v>
      </c>
      <c r="H1377">
        <v>9.3000000000000007</v>
      </c>
      <c r="I1377" t="s">
        <v>33</v>
      </c>
      <c r="J1377" s="33" t="s">
        <v>141</v>
      </c>
    </row>
    <row r="1378" spans="1:10" x14ac:dyDescent="0.25">
      <c r="A1378" t="s">
        <v>42</v>
      </c>
      <c r="B1378">
        <v>2</v>
      </c>
      <c r="C1378" t="s">
        <v>34</v>
      </c>
      <c r="D1378" t="s">
        <v>46</v>
      </c>
      <c r="E1378" s="2">
        <v>44</v>
      </c>
      <c r="F1378">
        <v>0</v>
      </c>
      <c r="G1378">
        <v>44</v>
      </c>
      <c r="H1378">
        <v>13</v>
      </c>
      <c r="I1378" t="s">
        <v>33</v>
      </c>
      <c r="J1378" s="33" t="s">
        <v>141</v>
      </c>
    </row>
    <row r="1379" spans="1:10" x14ac:dyDescent="0.25">
      <c r="A1379" t="s">
        <v>63</v>
      </c>
      <c r="B1379">
        <v>5</v>
      </c>
      <c r="C1379" t="s">
        <v>34</v>
      </c>
      <c r="D1379" t="s">
        <v>65</v>
      </c>
      <c r="E1379" s="2">
        <v>44</v>
      </c>
      <c r="F1379">
        <v>0</v>
      </c>
      <c r="G1379">
        <v>44</v>
      </c>
      <c r="H1379">
        <v>4.8</v>
      </c>
      <c r="I1379" t="s">
        <v>33</v>
      </c>
      <c r="J1379" s="33" t="s">
        <v>141</v>
      </c>
    </row>
    <row r="1380" spans="1:10" x14ac:dyDescent="0.25">
      <c r="A1380" t="s">
        <v>63</v>
      </c>
      <c r="B1380">
        <v>5</v>
      </c>
      <c r="C1380" t="s">
        <v>34</v>
      </c>
      <c r="D1380" t="s">
        <v>65</v>
      </c>
      <c r="E1380" s="2">
        <v>44</v>
      </c>
      <c r="F1380">
        <v>0</v>
      </c>
      <c r="G1380">
        <v>44</v>
      </c>
      <c r="H1380">
        <v>0.3</v>
      </c>
      <c r="I1380" t="s">
        <v>32</v>
      </c>
      <c r="J1380" s="33" t="s">
        <v>141</v>
      </c>
    </row>
    <row r="1381" spans="1:10" x14ac:dyDescent="0.25">
      <c r="A1381" t="s">
        <v>63</v>
      </c>
      <c r="B1381">
        <v>5</v>
      </c>
      <c r="C1381" t="s">
        <v>34</v>
      </c>
      <c r="D1381" t="s">
        <v>65</v>
      </c>
      <c r="E1381" s="2">
        <v>44</v>
      </c>
      <c r="F1381">
        <v>0</v>
      </c>
      <c r="G1381">
        <v>44</v>
      </c>
      <c r="H1381">
        <v>10.1</v>
      </c>
      <c r="I1381" t="s">
        <v>33</v>
      </c>
      <c r="J1381" s="33" t="s">
        <v>141</v>
      </c>
    </row>
    <row r="1382" spans="1:10" x14ac:dyDescent="0.25">
      <c r="A1382" t="s">
        <v>71</v>
      </c>
      <c r="B1382">
        <v>11</v>
      </c>
      <c r="C1382" t="s">
        <v>30</v>
      </c>
      <c r="D1382" t="s">
        <v>76</v>
      </c>
      <c r="E1382" s="2">
        <v>44</v>
      </c>
      <c r="F1382">
        <v>0</v>
      </c>
      <c r="G1382">
        <v>44</v>
      </c>
      <c r="H1382">
        <v>9.3000000000000007</v>
      </c>
      <c r="I1382" t="s">
        <v>33</v>
      </c>
      <c r="J1382" s="33" t="s">
        <v>141</v>
      </c>
    </row>
    <row r="1383" spans="1:10" x14ac:dyDescent="0.25">
      <c r="A1383" t="s">
        <v>29</v>
      </c>
      <c r="B1383">
        <v>1</v>
      </c>
      <c r="C1383" t="s">
        <v>34</v>
      </c>
      <c r="D1383" t="s">
        <v>35</v>
      </c>
      <c r="E1383" s="2">
        <v>45</v>
      </c>
      <c r="F1383">
        <v>0</v>
      </c>
      <c r="G1383">
        <v>45</v>
      </c>
      <c r="H1383">
        <v>10</v>
      </c>
      <c r="I1383" t="s">
        <v>33</v>
      </c>
      <c r="J1383" s="33" t="s">
        <v>141</v>
      </c>
    </row>
    <row r="1384" spans="1:10" x14ac:dyDescent="0.25">
      <c r="A1384" t="s">
        <v>29</v>
      </c>
      <c r="B1384">
        <v>2</v>
      </c>
      <c r="C1384" t="s">
        <v>30</v>
      </c>
      <c r="D1384" t="s">
        <v>36</v>
      </c>
      <c r="E1384" s="2">
        <v>45</v>
      </c>
      <c r="F1384">
        <v>0</v>
      </c>
      <c r="G1384">
        <v>45</v>
      </c>
      <c r="H1384">
        <v>10.6</v>
      </c>
      <c r="I1384" t="s">
        <v>33</v>
      </c>
      <c r="J1384" s="33" t="s">
        <v>141</v>
      </c>
    </row>
    <row r="1385" spans="1:10" x14ac:dyDescent="0.25">
      <c r="A1385" t="s">
        <v>29</v>
      </c>
      <c r="B1385">
        <v>3</v>
      </c>
      <c r="C1385" t="s">
        <v>30</v>
      </c>
      <c r="D1385" t="s">
        <v>38</v>
      </c>
      <c r="E1385" s="2">
        <v>45</v>
      </c>
      <c r="F1385">
        <v>0</v>
      </c>
      <c r="G1385">
        <v>45</v>
      </c>
      <c r="H1385">
        <v>2.4</v>
      </c>
      <c r="I1385" t="s">
        <v>33</v>
      </c>
      <c r="J1385" s="33" t="s">
        <v>141</v>
      </c>
    </row>
    <row r="1386" spans="1:10" x14ac:dyDescent="0.25">
      <c r="A1386" t="s">
        <v>29</v>
      </c>
      <c r="B1386">
        <v>3</v>
      </c>
      <c r="C1386" t="s">
        <v>34</v>
      </c>
      <c r="D1386" t="s">
        <v>39</v>
      </c>
      <c r="E1386" s="2">
        <v>45</v>
      </c>
      <c r="F1386">
        <v>0</v>
      </c>
      <c r="G1386">
        <v>45</v>
      </c>
      <c r="H1386">
        <v>16.3</v>
      </c>
      <c r="I1386" t="s">
        <v>33</v>
      </c>
      <c r="J1386" s="33" t="s">
        <v>141</v>
      </c>
    </row>
    <row r="1387" spans="1:10" x14ac:dyDescent="0.25">
      <c r="A1387" t="s">
        <v>29</v>
      </c>
      <c r="B1387">
        <v>4</v>
      </c>
      <c r="C1387" t="s">
        <v>30</v>
      </c>
      <c r="D1387" t="s">
        <v>40</v>
      </c>
      <c r="E1387" s="2">
        <v>45</v>
      </c>
      <c r="F1387">
        <v>0</v>
      </c>
      <c r="G1387">
        <v>45</v>
      </c>
      <c r="H1387">
        <v>6.1</v>
      </c>
      <c r="I1387" t="s">
        <v>33</v>
      </c>
      <c r="J1387" s="33" t="s">
        <v>141</v>
      </c>
    </row>
    <row r="1388" spans="1:10" x14ac:dyDescent="0.25">
      <c r="A1388" t="s">
        <v>42</v>
      </c>
      <c r="B1388">
        <v>3</v>
      </c>
      <c r="C1388" t="s">
        <v>34</v>
      </c>
      <c r="D1388" t="s">
        <v>50</v>
      </c>
      <c r="E1388" s="2">
        <v>45</v>
      </c>
      <c r="F1388">
        <v>0</v>
      </c>
      <c r="G1388">
        <v>45</v>
      </c>
      <c r="H1388">
        <v>0.9</v>
      </c>
      <c r="I1388" t="s">
        <v>32</v>
      </c>
      <c r="J1388" s="33" t="s">
        <v>141</v>
      </c>
    </row>
    <row r="1389" spans="1:10" x14ac:dyDescent="0.25">
      <c r="A1389" t="s">
        <v>54</v>
      </c>
      <c r="B1389">
        <v>4</v>
      </c>
      <c r="C1389" t="s">
        <v>30</v>
      </c>
      <c r="D1389" t="s">
        <v>61</v>
      </c>
      <c r="E1389" s="2">
        <v>45</v>
      </c>
      <c r="F1389">
        <v>0</v>
      </c>
      <c r="G1389">
        <v>45</v>
      </c>
      <c r="H1389">
        <v>14</v>
      </c>
      <c r="I1389" t="s">
        <v>33</v>
      </c>
      <c r="J1389" s="33" t="s">
        <v>141</v>
      </c>
    </row>
    <row r="1390" spans="1:10" x14ac:dyDescent="0.25">
      <c r="A1390" t="s">
        <v>63</v>
      </c>
      <c r="B1390">
        <v>5</v>
      </c>
      <c r="C1390" t="s">
        <v>30</v>
      </c>
      <c r="D1390" t="s">
        <v>64</v>
      </c>
      <c r="E1390" s="2">
        <v>45</v>
      </c>
      <c r="F1390">
        <v>0</v>
      </c>
      <c r="G1390">
        <v>45</v>
      </c>
      <c r="H1390">
        <v>1.4</v>
      </c>
      <c r="I1390" t="s">
        <v>33</v>
      </c>
      <c r="J1390" s="33" t="s">
        <v>141</v>
      </c>
    </row>
    <row r="1391" spans="1:10" x14ac:dyDescent="0.25">
      <c r="A1391" t="s">
        <v>29</v>
      </c>
      <c r="B1391">
        <v>1</v>
      </c>
      <c r="C1391" t="s">
        <v>30</v>
      </c>
      <c r="D1391" t="s">
        <v>31</v>
      </c>
      <c r="E1391" s="2">
        <v>46</v>
      </c>
      <c r="F1391">
        <v>0</v>
      </c>
      <c r="G1391">
        <v>46</v>
      </c>
      <c r="H1391">
        <v>18.5</v>
      </c>
      <c r="I1391" t="s">
        <v>33</v>
      </c>
      <c r="J1391" s="33" t="s">
        <v>141</v>
      </c>
    </row>
    <row r="1392" spans="1:10" x14ac:dyDescent="0.25">
      <c r="A1392" t="s">
        <v>29</v>
      </c>
      <c r="B1392">
        <v>1</v>
      </c>
      <c r="C1392" t="s">
        <v>34</v>
      </c>
      <c r="D1392" t="s">
        <v>35</v>
      </c>
      <c r="E1392" s="2">
        <v>46</v>
      </c>
      <c r="F1392">
        <v>0</v>
      </c>
      <c r="G1392">
        <v>46</v>
      </c>
      <c r="H1392">
        <v>5.0999999999999996</v>
      </c>
      <c r="I1392" t="s">
        <v>33</v>
      </c>
      <c r="J1392" s="33" t="s">
        <v>141</v>
      </c>
    </row>
    <row r="1393" spans="1:10" x14ac:dyDescent="0.25">
      <c r="A1393" t="s">
        <v>29</v>
      </c>
      <c r="B1393">
        <v>2</v>
      </c>
      <c r="C1393" t="s">
        <v>34</v>
      </c>
      <c r="D1393" t="s">
        <v>37</v>
      </c>
      <c r="E1393" s="2">
        <v>46</v>
      </c>
      <c r="F1393">
        <v>0</v>
      </c>
      <c r="G1393">
        <v>46</v>
      </c>
      <c r="H1393">
        <v>11</v>
      </c>
      <c r="I1393" t="s">
        <v>33</v>
      </c>
      <c r="J1393" s="33" t="s">
        <v>141</v>
      </c>
    </row>
    <row r="1394" spans="1:10" x14ac:dyDescent="0.25">
      <c r="A1394" t="s">
        <v>29</v>
      </c>
      <c r="B1394">
        <v>3</v>
      </c>
      <c r="C1394" t="s">
        <v>30</v>
      </c>
      <c r="D1394" t="s">
        <v>38</v>
      </c>
      <c r="E1394" s="2">
        <v>46</v>
      </c>
      <c r="F1394">
        <v>0</v>
      </c>
      <c r="G1394">
        <v>46</v>
      </c>
      <c r="H1394">
        <v>7.2</v>
      </c>
      <c r="I1394" t="s">
        <v>33</v>
      </c>
      <c r="J1394" s="33" t="s">
        <v>141</v>
      </c>
    </row>
    <row r="1395" spans="1:10" x14ac:dyDescent="0.25">
      <c r="A1395" t="s">
        <v>42</v>
      </c>
      <c r="B1395">
        <v>3</v>
      </c>
      <c r="C1395" t="s">
        <v>30</v>
      </c>
      <c r="D1395" t="s">
        <v>49</v>
      </c>
      <c r="E1395" s="2">
        <v>46</v>
      </c>
      <c r="F1395">
        <v>0</v>
      </c>
      <c r="G1395">
        <v>46</v>
      </c>
      <c r="H1395">
        <v>5</v>
      </c>
      <c r="I1395" t="s">
        <v>33</v>
      </c>
      <c r="J1395" s="33" t="s">
        <v>141</v>
      </c>
    </row>
    <row r="1396" spans="1:10" x14ac:dyDescent="0.25">
      <c r="A1396" t="s">
        <v>42</v>
      </c>
      <c r="B1396">
        <v>4</v>
      </c>
      <c r="C1396" t="s">
        <v>30</v>
      </c>
      <c r="D1396" t="s">
        <v>51</v>
      </c>
      <c r="E1396" s="2">
        <v>46</v>
      </c>
      <c r="F1396">
        <v>0</v>
      </c>
      <c r="G1396">
        <v>46</v>
      </c>
      <c r="H1396">
        <v>14.1</v>
      </c>
      <c r="I1396" t="s">
        <v>33</v>
      </c>
      <c r="J1396" s="33" t="s">
        <v>141</v>
      </c>
    </row>
    <row r="1397" spans="1:10" x14ac:dyDescent="0.25">
      <c r="A1397" t="s">
        <v>63</v>
      </c>
      <c r="B1397">
        <v>5</v>
      </c>
      <c r="C1397" t="s">
        <v>34</v>
      </c>
      <c r="D1397" t="s">
        <v>65</v>
      </c>
      <c r="E1397" s="2">
        <v>46</v>
      </c>
      <c r="F1397">
        <v>0</v>
      </c>
      <c r="G1397">
        <v>46</v>
      </c>
      <c r="H1397">
        <v>1.4</v>
      </c>
      <c r="I1397" t="s">
        <v>33</v>
      </c>
      <c r="J1397" s="33" t="s">
        <v>141</v>
      </c>
    </row>
    <row r="1398" spans="1:10" x14ac:dyDescent="0.25">
      <c r="A1398" t="s">
        <v>63</v>
      </c>
      <c r="B1398">
        <v>5</v>
      </c>
      <c r="C1398" t="s">
        <v>34</v>
      </c>
      <c r="D1398" t="s">
        <v>65</v>
      </c>
      <c r="E1398" s="2">
        <v>46</v>
      </c>
      <c r="F1398">
        <v>0</v>
      </c>
      <c r="G1398">
        <v>46</v>
      </c>
      <c r="H1398">
        <v>1.3</v>
      </c>
      <c r="I1398" t="s">
        <v>33</v>
      </c>
      <c r="J1398" s="33" t="s">
        <v>141</v>
      </c>
    </row>
    <row r="1399" spans="1:10" x14ac:dyDescent="0.25">
      <c r="A1399" t="s">
        <v>71</v>
      </c>
      <c r="B1399">
        <v>11</v>
      </c>
      <c r="C1399" t="s">
        <v>34</v>
      </c>
      <c r="D1399" t="s">
        <v>77</v>
      </c>
      <c r="E1399" s="2">
        <v>46</v>
      </c>
      <c r="F1399">
        <v>0</v>
      </c>
      <c r="G1399">
        <v>46</v>
      </c>
      <c r="H1399">
        <v>7.6</v>
      </c>
      <c r="I1399" t="s">
        <v>33</v>
      </c>
      <c r="J1399" s="33" t="s">
        <v>141</v>
      </c>
    </row>
    <row r="1400" spans="1:10" x14ac:dyDescent="0.25">
      <c r="A1400" t="s">
        <v>29</v>
      </c>
      <c r="B1400">
        <v>2</v>
      </c>
      <c r="C1400" t="s">
        <v>30</v>
      </c>
      <c r="D1400" t="s">
        <v>36</v>
      </c>
      <c r="E1400" s="2">
        <v>47</v>
      </c>
      <c r="F1400">
        <v>0</v>
      </c>
      <c r="G1400">
        <v>47</v>
      </c>
      <c r="H1400">
        <v>3.8</v>
      </c>
      <c r="I1400" t="s">
        <v>33</v>
      </c>
      <c r="J1400" s="33" t="s">
        <v>141</v>
      </c>
    </row>
    <row r="1401" spans="1:10" x14ac:dyDescent="0.25">
      <c r="A1401" t="s">
        <v>29</v>
      </c>
      <c r="B1401">
        <v>2</v>
      </c>
      <c r="C1401" t="s">
        <v>30</v>
      </c>
      <c r="D1401" t="s">
        <v>36</v>
      </c>
      <c r="E1401" s="2">
        <v>47</v>
      </c>
      <c r="F1401">
        <v>0</v>
      </c>
      <c r="G1401">
        <v>47</v>
      </c>
      <c r="H1401">
        <v>6</v>
      </c>
      <c r="I1401" t="s">
        <v>33</v>
      </c>
      <c r="J1401" s="33" t="s">
        <v>141</v>
      </c>
    </row>
    <row r="1402" spans="1:10" x14ac:dyDescent="0.25">
      <c r="A1402" t="s">
        <v>29</v>
      </c>
      <c r="B1402">
        <v>2</v>
      </c>
      <c r="C1402" t="s">
        <v>30</v>
      </c>
      <c r="D1402" t="s">
        <v>36</v>
      </c>
      <c r="E1402" s="2">
        <v>47</v>
      </c>
      <c r="F1402">
        <v>0</v>
      </c>
      <c r="G1402">
        <v>47</v>
      </c>
      <c r="H1402">
        <v>0.4</v>
      </c>
      <c r="I1402" t="s">
        <v>32</v>
      </c>
      <c r="J1402" s="33" t="s">
        <v>141</v>
      </c>
    </row>
    <row r="1403" spans="1:10" x14ac:dyDescent="0.25">
      <c r="A1403" t="s">
        <v>29</v>
      </c>
      <c r="B1403">
        <v>3</v>
      </c>
      <c r="C1403" t="s">
        <v>34</v>
      </c>
      <c r="D1403" t="s">
        <v>39</v>
      </c>
      <c r="E1403" s="2">
        <v>47</v>
      </c>
      <c r="F1403">
        <v>0</v>
      </c>
      <c r="G1403">
        <v>47</v>
      </c>
      <c r="H1403">
        <v>8.6999999999999993</v>
      </c>
      <c r="I1403" t="s">
        <v>33</v>
      </c>
      <c r="J1403" s="33" t="s">
        <v>141</v>
      </c>
    </row>
    <row r="1404" spans="1:10" x14ac:dyDescent="0.25">
      <c r="A1404" t="s">
        <v>29</v>
      </c>
      <c r="B1404">
        <v>3</v>
      </c>
      <c r="C1404" t="s">
        <v>34</v>
      </c>
      <c r="D1404" t="s">
        <v>39</v>
      </c>
      <c r="E1404" s="2">
        <v>47</v>
      </c>
      <c r="F1404">
        <v>0</v>
      </c>
      <c r="G1404">
        <v>47</v>
      </c>
      <c r="H1404">
        <v>17.2</v>
      </c>
      <c r="I1404" t="s">
        <v>33</v>
      </c>
      <c r="J1404" s="33" t="s">
        <v>141</v>
      </c>
    </row>
    <row r="1405" spans="1:10" x14ac:dyDescent="0.25">
      <c r="A1405" t="s">
        <v>29</v>
      </c>
      <c r="B1405">
        <v>4</v>
      </c>
      <c r="C1405" t="s">
        <v>30</v>
      </c>
      <c r="D1405" t="s">
        <v>40</v>
      </c>
      <c r="E1405" s="2">
        <v>47</v>
      </c>
      <c r="F1405">
        <v>0</v>
      </c>
      <c r="G1405">
        <v>47</v>
      </c>
      <c r="H1405">
        <v>7.8</v>
      </c>
      <c r="I1405" t="s">
        <v>33</v>
      </c>
      <c r="J1405" s="33" t="s">
        <v>141</v>
      </c>
    </row>
    <row r="1406" spans="1:10" x14ac:dyDescent="0.25">
      <c r="A1406" t="s">
        <v>42</v>
      </c>
      <c r="B1406">
        <v>2</v>
      </c>
      <c r="C1406" t="s">
        <v>34</v>
      </c>
      <c r="D1406" t="s">
        <v>46</v>
      </c>
      <c r="E1406" s="2">
        <v>47</v>
      </c>
      <c r="F1406">
        <v>0</v>
      </c>
      <c r="G1406">
        <v>47</v>
      </c>
      <c r="H1406">
        <v>14</v>
      </c>
      <c r="I1406" t="s">
        <v>33</v>
      </c>
      <c r="J1406" s="33" t="s">
        <v>141</v>
      </c>
    </row>
    <row r="1407" spans="1:10" x14ac:dyDescent="0.25">
      <c r="A1407" t="s">
        <v>42</v>
      </c>
      <c r="B1407">
        <v>3</v>
      </c>
      <c r="C1407" t="s">
        <v>30</v>
      </c>
      <c r="D1407" t="s">
        <v>49</v>
      </c>
      <c r="E1407" s="2">
        <v>47</v>
      </c>
      <c r="F1407">
        <v>0</v>
      </c>
      <c r="G1407">
        <v>47</v>
      </c>
      <c r="H1407">
        <v>7.3</v>
      </c>
      <c r="I1407" t="s">
        <v>33</v>
      </c>
      <c r="J1407" s="33" t="s">
        <v>141</v>
      </c>
    </row>
    <row r="1408" spans="1:10" x14ac:dyDescent="0.25">
      <c r="A1408" t="s">
        <v>54</v>
      </c>
      <c r="B1408">
        <v>1</v>
      </c>
      <c r="C1408" t="s">
        <v>30</v>
      </c>
      <c r="D1408" t="s">
        <v>55</v>
      </c>
      <c r="E1408" s="2">
        <v>47</v>
      </c>
      <c r="F1408">
        <v>0</v>
      </c>
      <c r="G1408">
        <v>47</v>
      </c>
      <c r="H1408">
        <v>14.7</v>
      </c>
      <c r="I1408" t="s">
        <v>33</v>
      </c>
      <c r="J1408" s="33" t="s">
        <v>141</v>
      </c>
    </row>
    <row r="1409" spans="1:10" x14ac:dyDescent="0.25">
      <c r="A1409" t="s">
        <v>54</v>
      </c>
      <c r="B1409">
        <v>4</v>
      </c>
      <c r="C1409" t="s">
        <v>30</v>
      </c>
      <c r="D1409" t="s">
        <v>61</v>
      </c>
      <c r="E1409" s="2">
        <v>47</v>
      </c>
      <c r="F1409">
        <v>0</v>
      </c>
      <c r="G1409">
        <v>47</v>
      </c>
      <c r="H1409">
        <v>0.6</v>
      </c>
      <c r="I1409" t="s">
        <v>32</v>
      </c>
      <c r="J1409" s="33" t="s">
        <v>141</v>
      </c>
    </row>
    <row r="1410" spans="1:10" x14ac:dyDescent="0.25">
      <c r="A1410" t="s">
        <v>63</v>
      </c>
      <c r="B1410">
        <v>5</v>
      </c>
      <c r="C1410" t="s">
        <v>30</v>
      </c>
      <c r="D1410" t="s">
        <v>64</v>
      </c>
      <c r="E1410" s="2">
        <v>47</v>
      </c>
      <c r="F1410">
        <v>0</v>
      </c>
      <c r="G1410">
        <v>47</v>
      </c>
      <c r="H1410">
        <v>1.6</v>
      </c>
      <c r="I1410" t="s">
        <v>33</v>
      </c>
      <c r="J1410" s="33" t="s">
        <v>141</v>
      </c>
    </row>
    <row r="1411" spans="1:10" x14ac:dyDescent="0.25">
      <c r="A1411" t="s">
        <v>63</v>
      </c>
      <c r="B1411">
        <v>5</v>
      </c>
      <c r="C1411" t="s">
        <v>34</v>
      </c>
      <c r="D1411" t="s">
        <v>65</v>
      </c>
      <c r="E1411" s="2">
        <v>47</v>
      </c>
      <c r="F1411">
        <v>0</v>
      </c>
      <c r="G1411">
        <v>47</v>
      </c>
      <c r="H1411">
        <v>5.7</v>
      </c>
      <c r="I1411" t="s">
        <v>33</v>
      </c>
      <c r="J1411" s="33" t="s">
        <v>141</v>
      </c>
    </row>
    <row r="1412" spans="1:10" x14ac:dyDescent="0.25">
      <c r="A1412" t="s">
        <v>71</v>
      </c>
      <c r="B1412">
        <v>10</v>
      </c>
      <c r="C1412" t="s">
        <v>34</v>
      </c>
      <c r="D1412" t="s">
        <v>75</v>
      </c>
      <c r="E1412" s="2">
        <v>47</v>
      </c>
      <c r="F1412">
        <v>0</v>
      </c>
      <c r="G1412">
        <v>47</v>
      </c>
      <c r="H1412">
        <v>10.5</v>
      </c>
      <c r="I1412" t="s">
        <v>33</v>
      </c>
      <c r="J1412" s="33" t="s">
        <v>141</v>
      </c>
    </row>
    <row r="1413" spans="1:10" x14ac:dyDescent="0.25">
      <c r="A1413" t="s">
        <v>71</v>
      </c>
      <c r="B1413">
        <v>11</v>
      </c>
      <c r="C1413" t="s">
        <v>34</v>
      </c>
      <c r="D1413" t="s">
        <v>77</v>
      </c>
      <c r="E1413" s="2">
        <v>47</v>
      </c>
      <c r="F1413">
        <v>0</v>
      </c>
      <c r="G1413">
        <v>47</v>
      </c>
      <c r="H1413">
        <v>10.3</v>
      </c>
      <c r="I1413" t="s">
        <v>33</v>
      </c>
      <c r="J1413" s="33" t="s">
        <v>141</v>
      </c>
    </row>
    <row r="1414" spans="1:10" x14ac:dyDescent="0.25">
      <c r="A1414" t="s">
        <v>29</v>
      </c>
      <c r="B1414">
        <v>1</v>
      </c>
      <c r="C1414" t="s">
        <v>30</v>
      </c>
      <c r="D1414" t="s">
        <v>31</v>
      </c>
      <c r="E1414" s="2">
        <v>48</v>
      </c>
      <c r="F1414">
        <v>0</v>
      </c>
      <c r="G1414">
        <v>48</v>
      </c>
      <c r="H1414">
        <v>13.3</v>
      </c>
      <c r="I1414" t="s">
        <v>33</v>
      </c>
      <c r="J1414" s="33" t="s">
        <v>141</v>
      </c>
    </row>
    <row r="1415" spans="1:10" x14ac:dyDescent="0.25">
      <c r="A1415" t="s">
        <v>29</v>
      </c>
      <c r="B1415">
        <v>1</v>
      </c>
      <c r="C1415" t="s">
        <v>34</v>
      </c>
      <c r="D1415" t="s">
        <v>35</v>
      </c>
      <c r="E1415" s="2">
        <v>48</v>
      </c>
      <c r="F1415">
        <v>0</v>
      </c>
      <c r="G1415">
        <v>48</v>
      </c>
      <c r="H1415">
        <v>8</v>
      </c>
      <c r="I1415" t="s">
        <v>33</v>
      </c>
      <c r="J1415" s="33" t="s">
        <v>141</v>
      </c>
    </row>
    <row r="1416" spans="1:10" x14ac:dyDescent="0.25">
      <c r="A1416" t="s">
        <v>29</v>
      </c>
      <c r="B1416">
        <v>2</v>
      </c>
      <c r="C1416" t="s">
        <v>30</v>
      </c>
      <c r="D1416" t="s">
        <v>36</v>
      </c>
      <c r="E1416" s="2">
        <v>48</v>
      </c>
      <c r="F1416">
        <v>0</v>
      </c>
      <c r="G1416">
        <v>48</v>
      </c>
      <c r="H1416">
        <v>0.6</v>
      </c>
      <c r="I1416" t="s">
        <v>32</v>
      </c>
      <c r="J1416" s="33" t="s">
        <v>141</v>
      </c>
    </row>
    <row r="1417" spans="1:10" x14ac:dyDescent="0.25">
      <c r="A1417" t="s">
        <v>29</v>
      </c>
      <c r="B1417">
        <v>2</v>
      </c>
      <c r="C1417" t="s">
        <v>34</v>
      </c>
      <c r="D1417" t="s">
        <v>37</v>
      </c>
      <c r="E1417" s="2">
        <v>48</v>
      </c>
      <c r="F1417">
        <v>0</v>
      </c>
      <c r="G1417">
        <v>48</v>
      </c>
      <c r="H1417">
        <v>2</v>
      </c>
      <c r="I1417" t="s">
        <v>33</v>
      </c>
      <c r="J1417" s="33" t="s">
        <v>141</v>
      </c>
    </row>
    <row r="1418" spans="1:10" x14ac:dyDescent="0.25">
      <c r="A1418" t="s">
        <v>29</v>
      </c>
      <c r="B1418">
        <v>3</v>
      </c>
      <c r="C1418" t="s">
        <v>30</v>
      </c>
      <c r="D1418" t="s">
        <v>38</v>
      </c>
      <c r="E1418" s="2">
        <v>48</v>
      </c>
      <c r="F1418">
        <v>0</v>
      </c>
      <c r="G1418">
        <v>48</v>
      </c>
      <c r="H1418">
        <v>11</v>
      </c>
      <c r="I1418" t="s">
        <v>33</v>
      </c>
      <c r="J1418" s="33" t="s">
        <v>141</v>
      </c>
    </row>
    <row r="1419" spans="1:10" x14ac:dyDescent="0.25">
      <c r="A1419" t="s">
        <v>29</v>
      </c>
      <c r="B1419">
        <v>3</v>
      </c>
      <c r="C1419" t="s">
        <v>34</v>
      </c>
      <c r="D1419" t="s">
        <v>39</v>
      </c>
      <c r="E1419" s="2">
        <v>48</v>
      </c>
      <c r="F1419">
        <v>0</v>
      </c>
      <c r="G1419">
        <v>48</v>
      </c>
      <c r="H1419">
        <v>12.9</v>
      </c>
      <c r="I1419" t="s">
        <v>33</v>
      </c>
      <c r="J1419" s="33" t="s">
        <v>141</v>
      </c>
    </row>
    <row r="1420" spans="1:10" x14ac:dyDescent="0.25">
      <c r="A1420" t="s">
        <v>29</v>
      </c>
      <c r="B1420">
        <v>4</v>
      </c>
      <c r="C1420" t="s">
        <v>30</v>
      </c>
      <c r="D1420" t="s">
        <v>40</v>
      </c>
      <c r="E1420" s="2">
        <v>48</v>
      </c>
      <c r="F1420">
        <v>0</v>
      </c>
      <c r="G1420">
        <v>48</v>
      </c>
      <c r="H1420">
        <v>8.1999999999999993</v>
      </c>
      <c r="I1420" t="s">
        <v>33</v>
      </c>
      <c r="J1420" s="33" t="s">
        <v>141</v>
      </c>
    </row>
    <row r="1421" spans="1:10" x14ac:dyDescent="0.25">
      <c r="A1421" t="s">
        <v>42</v>
      </c>
      <c r="B1421">
        <v>5</v>
      </c>
      <c r="C1421" t="s">
        <v>34</v>
      </c>
      <c r="D1421" t="s">
        <v>48</v>
      </c>
      <c r="E1421" s="2">
        <v>48</v>
      </c>
      <c r="F1421">
        <v>0</v>
      </c>
      <c r="G1421">
        <v>48</v>
      </c>
      <c r="H1421">
        <v>3</v>
      </c>
      <c r="I1421" t="s">
        <v>33</v>
      </c>
      <c r="J1421" s="33" t="s">
        <v>141</v>
      </c>
    </row>
    <row r="1422" spans="1:10" x14ac:dyDescent="0.25">
      <c r="A1422" t="s">
        <v>68</v>
      </c>
      <c r="B1422">
        <v>6</v>
      </c>
      <c r="C1422" t="s">
        <v>30</v>
      </c>
      <c r="D1422" t="s">
        <v>69</v>
      </c>
      <c r="E1422" s="2">
        <v>48</v>
      </c>
      <c r="F1422">
        <v>0</v>
      </c>
      <c r="G1422">
        <v>48</v>
      </c>
      <c r="H1422">
        <v>1.5</v>
      </c>
      <c r="I1422" t="s">
        <v>33</v>
      </c>
      <c r="J1422" s="33" t="s">
        <v>141</v>
      </c>
    </row>
    <row r="1423" spans="1:10" x14ac:dyDescent="0.25">
      <c r="A1423" t="s">
        <v>71</v>
      </c>
      <c r="B1423">
        <v>10</v>
      </c>
      <c r="C1423" t="s">
        <v>34</v>
      </c>
      <c r="D1423" t="s">
        <v>75</v>
      </c>
      <c r="E1423" s="2">
        <v>48</v>
      </c>
      <c r="F1423">
        <v>0</v>
      </c>
      <c r="G1423">
        <v>48</v>
      </c>
      <c r="H1423">
        <v>2.6</v>
      </c>
      <c r="I1423" t="s">
        <v>33</v>
      </c>
      <c r="J1423" s="33" t="s">
        <v>141</v>
      </c>
    </row>
    <row r="1424" spans="1:10" x14ac:dyDescent="0.25">
      <c r="A1424" t="s">
        <v>71</v>
      </c>
      <c r="B1424">
        <v>11</v>
      </c>
      <c r="C1424" t="s">
        <v>34</v>
      </c>
      <c r="D1424" t="s">
        <v>77</v>
      </c>
      <c r="E1424" s="2">
        <v>48</v>
      </c>
      <c r="F1424">
        <v>0</v>
      </c>
      <c r="G1424">
        <v>48</v>
      </c>
      <c r="H1424">
        <v>8.4</v>
      </c>
      <c r="I1424" t="s">
        <v>33</v>
      </c>
      <c r="J1424" s="33" t="s">
        <v>141</v>
      </c>
    </row>
    <row r="1425" spans="1:10" x14ac:dyDescent="0.25">
      <c r="A1425" t="s">
        <v>29</v>
      </c>
      <c r="B1425">
        <v>1</v>
      </c>
      <c r="C1425" t="s">
        <v>34</v>
      </c>
      <c r="D1425" t="s">
        <v>35</v>
      </c>
      <c r="E1425" s="2">
        <v>49</v>
      </c>
      <c r="F1425">
        <v>0</v>
      </c>
      <c r="G1425">
        <v>49</v>
      </c>
      <c r="H1425">
        <v>2</v>
      </c>
      <c r="I1425" t="s">
        <v>33</v>
      </c>
      <c r="J1425" s="33" t="s">
        <v>141</v>
      </c>
    </row>
    <row r="1426" spans="1:10" x14ac:dyDescent="0.25">
      <c r="A1426" t="s">
        <v>29</v>
      </c>
      <c r="B1426">
        <v>3</v>
      </c>
      <c r="C1426" t="s">
        <v>30</v>
      </c>
      <c r="D1426" t="s">
        <v>38</v>
      </c>
      <c r="E1426" s="2">
        <v>49</v>
      </c>
      <c r="F1426">
        <v>0</v>
      </c>
      <c r="G1426">
        <v>49</v>
      </c>
      <c r="H1426">
        <v>5.7</v>
      </c>
      <c r="I1426" t="s">
        <v>33</v>
      </c>
      <c r="J1426" s="33" t="s">
        <v>141</v>
      </c>
    </row>
    <row r="1427" spans="1:10" x14ac:dyDescent="0.25">
      <c r="A1427" t="s">
        <v>42</v>
      </c>
      <c r="B1427">
        <v>1</v>
      </c>
      <c r="C1427" t="s">
        <v>34</v>
      </c>
      <c r="D1427" t="s">
        <v>44</v>
      </c>
      <c r="E1427" s="2">
        <v>49</v>
      </c>
      <c r="F1427">
        <v>49</v>
      </c>
      <c r="G1427">
        <v>0</v>
      </c>
      <c r="H1427">
        <v>0</v>
      </c>
      <c r="I1427" t="s">
        <v>32</v>
      </c>
      <c r="J1427" s="33" t="s">
        <v>141</v>
      </c>
    </row>
    <row r="1428" spans="1:10" x14ac:dyDescent="0.25">
      <c r="A1428" t="s">
        <v>42</v>
      </c>
      <c r="B1428">
        <v>5</v>
      </c>
      <c r="C1428" t="s">
        <v>34</v>
      </c>
      <c r="D1428" t="s">
        <v>48</v>
      </c>
      <c r="E1428" s="2">
        <v>49</v>
      </c>
      <c r="F1428">
        <v>0</v>
      </c>
      <c r="G1428">
        <v>49</v>
      </c>
      <c r="H1428">
        <v>9.6</v>
      </c>
      <c r="I1428" t="s">
        <v>33</v>
      </c>
      <c r="J1428" s="33" t="s">
        <v>141</v>
      </c>
    </row>
    <row r="1429" spans="1:10" x14ac:dyDescent="0.25">
      <c r="A1429" t="s">
        <v>54</v>
      </c>
      <c r="B1429">
        <v>4</v>
      </c>
      <c r="C1429" t="s">
        <v>30</v>
      </c>
      <c r="D1429" t="s">
        <v>61</v>
      </c>
      <c r="E1429" s="2">
        <v>49</v>
      </c>
      <c r="F1429">
        <v>0</v>
      </c>
      <c r="G1429">
        <v>49</v>
      </c>
      <c r="H1429">
        <v>1.6</v>
      </c>
      <c r="I1429" t="s">
        <v>33</v>
      </c>
      <c r="J1429" s="33" t="s">
        <v>141</v>
      </c>
    </row>
    <row r="1430" spans="1:10" x14ac:dyDescent="0.25">
      <c r="A1430" t="s">
        <v>63</v>
      </c>
      <c r="B1430">
        <v>5</v>
      </c>
      <c r="C1430" t="s">
        <v>34</v>
      </c>
      <c r="D1430" t="s">
        <v>65</v>
      </c>
      <c r="E1430" s="2">
        <v>49</v>
      </c>
      <c r="F1430">
        <v>0</v>
      </c>
      <c r="G1430">
        <v>49</v>
      </c>
      <c r="H1430">
        <v>0.1</v>
      </c>
      <c r="I1430" t="s">
        <v>32</v>
      </c>
      <c r="J1430" s="33" t="s">
        <v>141</v>
      </c>
    </row>
    <row r="1431" spans="1:10" x14ac:dyDescent="0.25">
      <c r="A1431" t="s">
        <v>29</v>
      </c>
      <c r="B1431">
        <v>1</v>
      </c>
      <c r="C1431" t="s">
        <v>30</v>
      </c>
      <c r="D1431" t="s">
        <v>31</v>
      </c>
      <c r="E1431" s="2">
        <v>50</v>
      </c>
      <c r="F1431">
        <v>0</v>
      </c>
      <c r="G1431">
        <v>50</v>
      </c>
      <c r="H1431">
        <v>8.1</v>
      </c>
      <c r="I1431" t="s">
        <v>33</v>
      </c>
      <c r="J1431" s="33" t="s">
        <v>141</v>
      </c>
    </row>
    <row r="1432" spans="1:10" x14ac:dyDescent="0.25">
      <c r="A1432" t="s">
        <v>29</v>
      </c>
      <c r="B1432">
        <v>2</v>
      </c>
      <c r="C1432" t="s">
        <v>34</v>
      </c>
      <c r="D1432" t="s">
        <v>37</v>
      </c>
      <c r="E1432" s="2">
        <v>50</v>
      </c>
      <c r="F1432">
        <v>0</v>
      </c>
      <c r="G1432">
        <v>50</v>
      </c>
      <c r="H1432">
        <v>5.4</v>
      </c>
      <c r="I1432" t="s">
        <v>33</v>
      </c>
      <c r="J1432" s="33" t="s">
        <v>141</v>
      </c>
    </row>
    <row r="1433" spans="1:10" x14ac:dyDescent="0.25">
      <c r="A1433" t="s">
        <v>29</v>
      </c>
      <c r="B1433">
        <v>3</v>
      </c>
      <c r="C1433" t="s">
        <v>34</v>
      </c>
      <c r="D1433" t="s">
        <v>39</v>
      </c>
      <c r="E1433" s="2">
        <v>50</v>
      </c>
      <c r="F1433">
        <v>0</v>
      </c>
      <c r="G1433">
        <v>50</v>
      </c>
      <c r="H1433">
        <v>1.3</v>
      </c>
      <c r="I1433" t="s">
        <v>33</v>
      </c>
      <c r="J1433" s="33" t="s">
        <v>141</v>
      </c>
    </row>
    <row r="1434" spans="1:10" x14ac:dyDescent="0.25">
      <c r="A1434" t="s">
        <v>29</v>
      </c>
      <c r="B1434">
        <v>4</v>
      </c>
      <c r="C1434" t="s">
        <v>30</v>
      </c>
      <c r="D1434" t="s">
        <v>40</v>
      </c>
      <c r="E1434" s="2">
        <v>50</v>
      </c>
      <c r="F1434">
        <v>10</v>
      </c>
      <c r="G1434">
        <v>40</v>
      </c>
      <c r="H1434">
        <v>0</v>
      </c>
      <c r="I1434" t="s">
        <v>32</v>
      </c>
      <c r="J1434" s="33" t="s">
        <v>141</v>
      </c>
    </row>
    <row r="1435" spans="1:10" x14ac:dyDescent="0.25">
      <c r="A1435" t="s">
        <v>42</v>
      </c>
      <c r="B1435">
        <v>2</v>
      </c>
      <c r="C1435" t="s">
        <v>34</v>
      </c>
      <c r="D1435" t="s">
        <v>46</v>
      </c>
      <c r="E1435" s="2">
        <v>50</v>
      </c>
      <c r="F1435">
        <v>0</v>
      </c>
      <c r="G1435">
        <v>50</v>
      </c>
      <c r="H1435">
        <v>2.5</v>
      </c>
      <c r="I1435" t="s">
        <v>33</v>
      </c>
      <c r="J1435" s="33" t="s">
        <v>141</v>
      </c>
    </row>
    <row r="1436" spans="1:10" x14ac:dyDescent="0.25">
      <c r="A1436" t="s">
        <v>42</v>
      </c>
      <c r="B1436">
        <v>5</v>
      </c>
      <c r="C1436" t="s">
        <v>34</v>
      </c>
      <c r="D1436" t="s">
        <v>48</v>
      </c>
      <c r="E1436" s="2">
        <v>50</v>
      </c>
      <c r="F1436">
        <v>0</v>
      </c>
      <c r="G1436">
        <v>50</v>
      </c>
      <c r="H1436">
        <v>10</v>
      </c>
      <c r="I1436" t="s">
        <v>33</v>
      </c>
      <c r="J1436" s="33" t="s">
        <v>141</v>
      </c>
    </row>
    <row r="1437" spans="1:10" x14ac:dyDescent="0.25">
      <c r="A1437" t="s">
        <v>42</v>
      </c>
      <c r="B1437">
        <v>5</v>
      </c>
      <c r="C1437" t="s">
        <v>34</v>
      </c>
      <c r="D1437" t="s">
        <v>48</v>
      </c>
      <c r="E1437" s="2">
        <v>50</v>
      </c>
      <c r="F1437">
        <v>0</v>
      </c>
      <c r="G1437">
        <v>50</v>
      </c>
      <c r="H1437">
        <v>4.5</v>
      </c>
      <c r="I1437" t="s">
        <v>33</v>
      </c>
      <c r="J1437" s="33" t="s">
        <v>141</v>
      </c>
    </row>
    <row r="1438" spans="1:10" x14ac:dyDescent="0.25">
      <c r="A1438" t="s">
        <v>42</v>
      </c>
      <c r="B1438">
        <v>3</v>
      </c>
      <c r="C1438" t="s">
        <v>34</v>
      </c>
      <c r="D1438" t="s">
        <v>50</v>
      </c>
      <c r="E1438" s="2">
        <v>50</v>
      </c>
      <c r="F1438">
        <v>0</v>
      </c>
      <c r="G1438">
        <v>50</v>
      </c>
      <c r="H1438">
        <v>3.6</v>
      </c>
      <c r="I1438" t="s">
        <v>33</v>
      </c>
      <c r="J1438" s="33" t="s">
        <v>141</v>
      </c>
    </row>
    <row r="1439" spans="1:10" x14ac:dyDescent="0.25">
      <c r="A1439" t="s">
        <v>42</v>
      </c>
      <c r="B1439">
        <v>3</v>
      </c>
      <c r="C1439" t="s">
        <v>34</v>
      </c>
      <c r="D1439" t="s">
        <v>50</v>
      </c>
      <c r="E1439" s="2">
        <v>50</v>
      </c>
      <c r="F1439">
        <v>0</v>
      </c>
      <c r="G1439">
        <v>50</v>
      </c>
      <c r="H1439">
        <v>9.6</v>
      </c>
      <c r="I1439" t="s">
        <v>33</v>
      </c>
      <c r="J1439" s="33" t="s">
        <v>141</v>
      </c>
    </row>
    <row r="1440" spans="1:10" x14ac:dyDescent="0.25">
      <c r="A1440" t="s">
        <v>52</v>
      </c>
      <c r="B1440">
        <v>4</v>
      </c>
      <c r="C1440" t="s">
        <v>34</v>
      </c>
      <c r="D1440" t="s">
        <v>53</v>
      </c>
      <c r="E1440" s="2">
        <v>50</v>
      </c>
      <c r="F1440">
        <v>0</v>
      </c>
      <c r="G1440">
        <v>50</v>
      </c>
      <c r="H1440">
        <v>3.4</v>
      </c>
      <c r="I1440" t="s">
        <v>33</v>
      </c>
      <c r="J1440" s="33" t="s">
        <v>141</v>
      </c>
    </row>
    <row r="1441" spans="1:10" x14ac:dyDescent="0.25">
      <c r="A1441" t="s">
        <v>54</v>
      </c>
      <c r="B1441">
        <v>4</v>
      </c>
      <c r="C1441" t="s">
        <v>30</v>
      </c>
      <c r="D1441" t="s">
        <v>61</v>
      </c>
      <c r="E1441" s="2">
        <v>50</v>
      </c>
      <c r="F1441">
        <v>0</v>
      </c>
      <c r="G1441">
        <v>50</v>
      </c>
      <c r="H1441">
        <v>2</v>
      </c>
      <c r="I1441" t="s">
        <v>33</v>
      </c>
      <c r="J1441" s="33" t="s">
        <v>141</v>
      </c>
    </row>
    <row r="1442" spans="1:10" x14ac:dyDescent="0.25">
      <c r="A1442" t="s">
        <v>54</v>
      </c>
      <c r="B1442">
        <v>4</v>
      </c>
      <c r="C1442" t="s">
        <v>30</v>
      </c>
      <c r="D1442" t="s">
        <v>61</v>
      </c>
      <c r="E1442" s="2">
        <v>50</v>
      </c>
      <c r="F1442">
        <v>0</v>
      </c>
      <c r="G1442">
        <v>50</v>
      </c>
      <c r="H1442">
        <v>3.4</v>
      </c>
      <c r="I1442" t="s">
        <v>33</v>
      </c>
      <c r="J1442" s="33" t="s">
        <v>141</v>
      </c>
    </row>
    <row r="1443" spans="1:10" x14ac:dyDescent="0.25">
      <c r="A1443" t="s">
        <v>63</v>
      </c>
      <c r="B1443">
        <v>5</v>
      </c>
      <c r="C1443" t="s">
        <v>34</v>
      </c>
      <c r="D1443" t="s">
        <v>65</v>
      </c>
      <c r="E1443" s="2">
        <v>50</v>
      </c>
      <c r="F1443">
        <v>0</v>
      </c>
      <c r="G1443">
        <v>50</v>
      </c>
      <c r="H1443">
        <v>3.5</v>
      </c>
      <c r="I1443" t="s">
        <v>33</v>
      </c>
      <c r="J1443" s="33" t="s">
        <v>141</v>
      </c>
    </row>
    <row r="1444" spans="1:10" x14ac:dyDescent="0.25">
      <c r="A1444" t="s">
        <v>63</v>
      </c>
      <c r="B1444">
        <v>5</v>
      </c>
      <c r="C1444" t="s">
        <v>34</v>
      </c>
      <c r="D1444" t="s">
        <v>65</v>
      </c>
      <c r="E1444" s="2">
        <v>50</v>
      </c>
      <c r="F1444">
        <v>0</v>
      </c>
      <c r="G1444">
        <v>50</v>
      </c>
      <c r="H1444">
        <v>1.3</v>
      </c>
      <c r="I1444" t="s">
        <v>33</v>
      </c>
      <c r="J1444" s="33" t="s">
        <v>141</v>
      </c>
    </row>
    <row r="1445" spans="1:10" x14ac:dyDescent="0.25">
      <c r="A1445" t="s">
        <v>63</v>
      </c>
      <c r="B1445">
        <v>1</v>
      </c>
      <c r="C1445" t="s">
        <v>34</v>
      </c>
      <c r="D1445" t="s">
        <v>67</v>
      </c>
      <c r="E1445" s="2">
        <v>50</v>
      </c>
      <c r="F1445">
        <v>0</v>
      </c>
      <c r="G1445">
        <v>50</v>
      </c>
      <c r="H1445">
        <v>13.3</v>
      </c>
      <c r="I1445" t="s">
        <v>33</v>
      </c>
      <c r="J1445" s="33" t="s">
        <v>141</v>
      </c>
    </row>
    <row r="1446" spans="1:10" x14ac:dyDescent="0.25">
      <c r="A1446" t="s">
        <v>29</v>
      </c>
      <c r="B1446">
        <v>1</v>
      </c>
      <c r="C1446" t="s">
        <v>34</v>
      </c>
      <c r="D1446" t="s">
        <v>35</v>
      </c>
      <c r="E1446" s="2">
        <v>51</v>
      </c>
      <c r="F1446">
        <v>0</v>
      </c>
      <c r="G1446">
        <v>51</v>
      </c>
      <c r="H1446">
        <v>6.8</v>
      </c>
      <c r="I1446" t="s">
        <v>33</v>
      </c>
      <c r="J1446" s="33" t="s">
        <v>142</v>
      </c>
    </row>
    <row r="1447" spans="1:10" x14ac:dyDescent="0.25">
      <c r="A1447" t="s">
        <v>29</v>
      </c>
      <c r="B1447">
        <v>2</v>
      </c>
      <c r="C1447" t="s">
        <v>34</v>
      </c>
      <c r="D1447" t="s">
        <v>37</v>
      </c>
      <c r="E1447" s="2">
        <v>51</v>
      </c>
      <c r="F1447">
        <v>0</v>
      </c>
      <c r="G1447">
        <v>51</v>
      </c>
      <c r="H1447">
        <v>2.6</v>
      </c>
      <c r="I1447" t="s">
        <v>33</v>
      </c>
      <c r="J1447" s="33" t="s">
        <v>142</v>
      </c>
    </row>
    <row r="1448" spans="1:10" x14ac:dyDescent="0.25">
      <c r="A1448" t="s">
        <v>29</v>
      </c>
      <c r="B1448">
        <v>3</v>
      </c>
      <c r="C1448" t="s">
        <v>30</v>
      </c>
      <c r="D1448" t="s">
        <v>38</v>
      </c>
      <c r="E1448" s="2">
        <v>51</v>
      </c>
      <c r="F1448">
        <v>0</v>
      </c>
      <c r="G1448">
        <v>51</v>
      </c>
      <c r="H1448">
        <v>2.6</v>
      </c>
      <c r="I1448" t="s">
        <v>33</v>
      </c>
      <c r="J1448" s="33" t="s">
        <v>142</v>
      </c>
    </row>
    <row r="1449" spans="1:10" x14ac:dyDescent="0.25">
      <c r="A1449" t="s">
        <v>29</v>
      </c>
      <c r="B1449">
        <v>4</v>
      </c>
      <c r="C1449" t="s">
        <v>30</v>
      </c>
      <c r="D1449" t="s">
        <v>40</v>
      </c>
      <c r="E1449" s="2">
        <v>51</v>
      </c>
      <c r="F1449">
        <v>0</v>
      </c>
      <c r="G1449">
        <v>51</v>
      </c>
      <c r="H1449">
        <v>3.6</v>
      </c>
      <c r="I1449" t="s">
        <v>33</v>
      </c>
      <c r="J1449" s="33" t="s">
        <v>142</v>
      </c>
    </row>
    <row r="1450" spans="1:10" x14ac:dyDescent="0.25">
      <c r="A1450" t="s">
        <v>29</v>
      </c>
      <c r="B1450">
        <v>4</v>
      </c>
      <c r="C1450" t="s">
        <v>30</v>
      </c>
      <c r="D1450" t="s">
        <v>40</v>
      </c>
      <c r="E1450" s="2">
        <v>51</v>
      </c>
      <c r="F1450">
        <v>3</v>
      </c>
      <c r="G1450">
        <v>48</v>
      </c>
      <c r="H1450">
        <v>5.2</v>
      </c>
      <c r="I1450" t="s">
        <v>33</v>
      </c>
      <c r="J1450" s="33" t="s">
        <v>142</v>
      </c>
    </row>
    <row r="1451" spans="1:10" x14ac:dyDescent="0.25">
      <c r="A1451" t="s">
        <v>42</v>
      </c>
      <c r="B1451">
        <v>4</v>
      </c>
      <c r="C1451" t="s">
        <v>30</v>
      </c>
      <c r="D1451" t="s">
        <v>51</v>
      </c>
      <c r="E1451" s="2">
        <v>51</v>
      </c>
      <c r="F1451">
        <v>0</v>
      </c>
      <c r="G1451">
        <v>51</v>
      </c>
      <c r="H1451">
        <v>1.6</v>
      </c>
      <c r="I1451" t="s">
        <v>33</v>
      </c>
      <c r="J1451" s="33" t="s">
        <v>142</v>
      </c>
    </row>
    <row r="1452" spans="1:10" x14ac:dyDescent="0.25">
      <c r="A1452" t="s">
        <v>29</v>
      </c>
      <c r="B1452">
        <v>1</v>
      </c>
      <c r="C1452" t="s">
        <v>30</v>
      </c>
      <c r="D1452" t="s">
        <v>31</v>
      </c>
      <c r="E1452" s="2">
        <v>52</v>
      </c>
      <c r="F1452">
        <v>0</v>
      </c>
      <c r="G1452">
        <v>52</v>
      </c>
      <c r="H1452">
        <v>11.6</v>
      </c>
      <c r="I1452" t="s">
        <v>33</v>
      </c>
      <c r="J1452" s="33" t="s">
        <v>142</v>
      </c>
    </row>
    <row r="1453" spans="1:10" x14ac:dyDescent="0.25">
      <c r="A1453" t="s">
        <v>29</v>
      </c>
      <c r="B1453">
        <v>2</v>
      </c>
      <c r="C1453" t="s">
        <v>30</v>
      </c>
      <c r="D1453" t="s">
        <v>36</v>
      </c>
      <c r="E1453" s="2">
        <v>52</v>
      </c>
      <c r="F1453">
        <v>42</v>
      </c>
      <c r="G1453">
        <v>10</v>
      </c>
      <c r="H1453">
        <v>0</v>
      </c>
      <c r="I1453" t="s">
        <v>32</v>
      </c>
      <c r="J1453" s="33" t="s">
        <v>142</v>
      </c>
    </row>
    <row r="1454" spans="1:10" x14ac:dyDescent="0.25">
      <c r="A1454" t="s">
        <v>42</v>
      </c>
      <c r="B1454">
        <v>1</v>
      </c>
      <c r="C1454" t="s">
        <v>30</v>
      </c>
      <c r="D1454" t="s">
        <v>43</v>
      </c>
      <c r="E1454" s="2">
        <v>52</v>
      </c>
      <c r="F1454">
        <v>52</v>
      </c>
      <c r="G1454">
        <v>52</v>
      </c>
      <c r="H1454">
        <v>0</v>
      </c>
      <c r="I1454" t="s">
        <v>32</v>
      </c>
      <c r="J1454" s="33" t="s">
        <v>142</v>
      </c>
    </row>
    <row r="1455" spans="1:10" x14ac:dyDescent="0.25">
      <c r="A1455" t="s">
        <v>42</v>
      </c>
      <c r="B1455">
        <v>5</v>
      </c>
      <c r="C1455" t="s">
        <v>30</v>
      </c>
      <c r="D1455" t="s">
        <v>47</v>
      </c>
      <c r="E1455" s="2">
        <v>52</v>
      </c>
      <c r="F1455">
        <v>0</v>
      </c>
      <c r="G1455">
        <v>52</v>
      </c>
      <c r="H1455">
        <v>9.5</v>
      </c>
      <c r="I1455" t="s">
        <v>33</v>
      </c>
      <c r="J1455" s="33" t="s">
        <v>142</v>
      </c>
    </row>
    <row r="1456" spans="1:10" x14ac:dyDescent="0.25">
      <c r="A1456" t="s">
        <v>42</v>
      </c>
      <c r="B1456">
        <v>5</v>
      </c>
      <c r="C1456" t="s">
        <v>34</v>
      </c>
      <c r="D1456" t="s">
        <v>48</v>
      </c>
      <c r="E1456" s="2">
        <v>52</v>
      </c>
      <c r="F1456">
        <v>0</v>
      </c>
      <c r="G1456">
        <v>52</v>
      </c>
      <c r="H1456">
        <v>10.3</v>
      </c>
      <c r="I1456" t="s">
        <v>33</v>
      </c>
      <c r="J1456" s="33" t="s">
        <v>142</v>
      </c>
    </row>
    <row r="1457" spans="1:10" x14ac:dyDescent="0.25">
      <c r="A1457" t="s">
        <v>54</v>
      </c>
      <c r="B1457">
        <v>4</v>
      </c>
      <c r="C1457" t="s">
        <v>30</v>
      </c>
      <c r="D1457" t="s">
        <v>61</v>
      </c>
      <c r="E1457" s="2">
        <v>52</v>
      </c>
      <c r="F1457">
        <v>0</v>
      </c>
      <c r="G1457">
        <v>52</v>
      </c>
      <c r="H1457">
        <v>1</v>
      </c>
      <c r="I1457" t="s">
        <v>33</v>
      </c>
      <c r="J1457" s="33" t="s">
        <v>142</v>
      </c>
    </row>
    <row r="1458" spans="1:10" x14ac:dyDescent="0.25">
      <c r="A1458" t="s">
        <v>68</v>
      </c>
      <c r="B1458">
        <v>6</v>
      </c>
      <c r="C1458" t="s">
        <v>34</v>
      </c>
      <c r="D1458" t="s">
        <v>70</v>
      </c>
      <c r="E1458" s="2">
        <v>52</v>
      </c>
      <c r="F1458">
        <v>0</v>
      </c>
      <c r="G1458">
        <v>52</v>
      </c>
      <c r="H1458">
        <v>14.6</v>
      </c>
      <c r="I1458" t="s">
        <v>33</v>
      </c>
      <c r="J1458" s="33" t="s">
        <v>142</v>
      </c>
    </row>
    <row r="1459" spans="1:10" x14ac:dyDescent="0.25">
      <c r="A1459" t="s">
        <v>29</v>
      </c>
      <c r="B1459">
        <v>1</v>
      </c>
      <c r="C1459" t="s">
        <v>30</v>
      </c>
      <c r="D1459" t="s">
        <v>31</v>
      </c>
      <c r="E1459" s="2">
        <v>53</v>
      </c>
      <c r="F1459">
        <v>0</v>
      </c>
      <c r="G1459">
        <v>53</v>
      </c>
      <c r="H1459">
        <v>7.1</v>
      </c>
      <c r="I1459" t="s">
        <v>33</v>
      </c>
      <c r="J1459" s="33" t="s">
        <v>142</v>
      </c>
    </row>
    <row r="1460" spans="1:10" x14ac:dyDescent="0.25">
      <c r="A1460" t="s">
        <v>29</v>
      </c>
      <c r="B1460">
        <v>1</v>
      </c>
      <c r="C1460" t="s">
        <v>34</v>
      </c>
      <c r="D1460" t="s">
        <v>35</v>
      </c>
      <c r="E1460" s="2">
        <v>53</v>
      </c>
      <c r="F1460">
        <v>0</v>
      </c>
      <c r="G1460">
        <v>53</v>
      </c>
      <c r="H1460">
        <v>4.9000000000000004</v>
      </c>
      <c r="I1460" t="s">
        <v>33</v>
      </c>
      <c r="J1460" s="33" t="s">
        <v>142</v>
      </c>
    </row>
    <row r="1461" spans="1:10" x14ac:dyDescent="0.25">
      <c r="A1461" t="s">
        <v>42</v>
      </c>
      <c r="B1461">
        <v>1</v>
      </c>
      <c r="C1461" t="s">
        <v>34</v>
      </c>
      <c r="D1461" t="s">
        <v>44</v>
      </c>
      <c r="E1461" s="2">
        <v>53</v>
      </c>
      <c r="F1461">
        <v>50</v>
      </c>
      <c r="G1461">
        <v>3</v>
      </c>
      <c r="H1461">
        <v>0</v>
      </c>
      <c r="I1461" t="s">
        <v>32</v>
      </c>
      <c r="J1461" s="33" t="s">
        <v>142</v>
      </c>
    </row>
    <row r="1462" spans="1:10" x14ac:dyDescent="0.25">
      <c r="A1462" t="s">
        <v>42</v>
      </c>
      <c r="B1462">
        <v>5</v>
      </c>
      <c r="C1462" t="s">
        <v>30</v>
      </c>
      <c r="D1462" t="s">
        <v>47</v>
      </c>
      <c r="E1462" s="2">
        <v>53</v>
      </c>
      <c r="F1462">
        <v>0</v>
      </c>
      <c r="G1462">
        <v>53</v>
      </c>
      <c r="H1462">
        <v>10.8</v>
      </c>
      <c r="I1462" t="s">
        <v>33</v>
      </c>
      <c r="J1462" s="33" t="s">
        <v>142</v>
      </c>
    </row>
    <row r="1463" spans="1:10" x14ac:dyDescent="0.25">
      <c r="A1463" t="s">
        <v>42</v>
      </c>
      <c r="B1463">
        <v>3</v>
      </c>
      <c r="C1463" t="s">
        <v>34</v>
      </c>
      <c r="D1463" t="s">
        <v>50</v>
      </c>
      <c r="E1463" s="2">
        <v>53</v>
      </c>
      <c r="F1463">
        <v>0</v>
      </c>
      <c r="G1463">
        <v>53</v>
      </c>
      <c r="H1463">
        <v>13.6</v>
      </c>
      <c r="I1463" t="s">
        <v>33</v>
      </c>
      <c r="J1463" s="33" t="s">
        <v>142</v>
      </c>
    </row>
    <row r="1464" spans="1:10" x14ac:dyDescent="0.25">
      <c r="A1464" t="s">
        <v>52</v>
      </c>
      <c r="B1464">
        <v>4</v>
      </c>
      <c r="C1464" t="s">
        <v>34</v>
      </c>
      <c r="D1464" t="s">
        <v>53</v>
      </c>
      <c r="E1464" s="2">
        <v>53</v>
      </c>
      <c r="F1464">
        <v>0</v>
      </c>
      <c r="G1464">
        <v>53</v>
      </c>
      <c r="H1464">
        <v>13.8</v>
      </c>
      <c r="I1464" t="s">
        <v>33</v>
      </c>
      <c r="J1464" s="33" t="s">
        <v>142</v>
      </c>
    </row>
    <row r="1465" spans="1:10" x14ac:dyDescent="0.25">
      <c r="A1465" t="s">
        <v>54</v>
      </c>
      <c r="B1465">
        <v>1</v>
      </c>
      <c r="C1465" t="s">
        <v>30</v>
      </c>
      <c r="D1465" t="s">
        <v>55</v>
      </c>
      <c r="E1465" s="2">
        <v>53</v>
      </c>
      <c r="F1465">
        <v>0</v>
      </c>
      <c r="G1465">
        <v>53</v>
      </c>
      <c r="H1465">
        <v>8.4</v>
      </c>
      <c r="I1465" t="s">
        <v>33</v>
      </c>
      <c r="J1465" s="33" t="s">
        <v>142</v>
      </c>
    </row>
    <row r="1466" spans="1:10" x14ac:dyDescent="0.25">
      <c r="A1466" t="s">
        <v>54</v>
      </c>
      <c r="B1466">
        <v>4</v>
      </c>
      <c r="C1466" t="s">
        <v>30</v>
      </c>
      <c r="D1466" t="s">
        <v>61</v>
      </c>
      <c r="E1466" s="2">
        <v>53</v>
      </c>
      <c r="F1466">
        <v>0</v>
      </c>
      <c r="G1466">
        <v>53</v>
      </c>
      <c r="H1466">
        <v>0.7</v>
      </c>
      <c r="I1466" t="s">
        <v>32</v>
      </c>
      <c r="J1466" s="33" t="s">
        <v>142</v>
      </c>
    </row>
    <row r="1467" spans="1:10" x14ac:dyDescent="0.25">
      <c r="A1467" t="s">
        <v>63</v>
      </c>
      <c r="B1467">
        <v>5</v>
      </c>
      <c r="C1467" t="s">
        <v>34</v>
      </c>
      <c r="D1467" t="s">
        <v>65</v>
      </c>
      <c r="E1467" s="2">
        <v>53</v>
      </c>
      <c r="F1467">
        <v>0</v>
      </c>
      <c r="G1467">
        <v>53</v>
      </c>
      <c r="H1467">
        <v>1.1000000000000001</v>
      </c>
      <c r="I1467" t="s">
        <v>33</v>
      </c>
      <c r="J1467" s="33" t="s">
        <v>142</v>
      </c>
    </row>
    <row r="1468" spans="1:10" x14ac:dyDescent="0.25">
      <c r="A1468" t="s">
        <v>63</v>
      </c>
      <c r="B1468">
        <v>5</v>
      </c>
      <c r="C1468" t="s">
        <v>34</v>
      </c>
      <c r="D1468" t="s">
        <v>65</v>
      </c>
      <c r="E1468" s="2">
        <v>53</v>
      </c>
      <c r="F1468">
        <v>0</v>
      </c>
      <c r="G1468">
        <v>53</v>
      </c>
      <c r="H1468">
        <v>2</v>
      </c>
      <c r="I1468" t="s">
        <v>33</v>
      </c>
      <c r="J1468" s="33" t="s">
        <v>142</v>
      </c>
    </row>
    <row r="1469" spans="1:10" x14ac:dyDescent="0.25">
      <c r="A1469" t="s">
        <v>63</v>
      </c>
      <c r="B1469">
        <v>5</v>
      </c>
      <c r="C1469" t="s">
        <v>34</v>
      </c>
      <c r="D1469" t="s">
        <v>65</v>
      </c>
      <c r="E1469" s="2">
        <v>53</v>
      </c>
      <c r="F1469">
        <v>0</v>
      </c>
      <c r="G1469">
        <v>53</v>
      </c>
      <c r="H1469">
        <v>1.8</v>
      </c>
      <c r="I1469" t="s">
        <v>33</v>
      </c>
      <c r="J1469" s="33" t="s">
        <v>142</v>
      </c>
    </row>
    <row r="1470" spans="1:10" x14ac:dyDescent="0.25">
      <c r="A1470" t="s">
        <v>63</v>
      </c>
      <c r="B1470">
        <v>1</v>
      </c>
      <c r="C1470" t="s">
        <v>34</v>
      </c>
      <c r="D1470" t="s">
        <v>67</v>
      </c>
      <c r="E1470" s="2">
        <v>53</v>
      </c>
      <c r="F1470">
        <v>0</v>
      </c>
      <c r="G1470">
        <v>53</v>
      </c>
      <c r="H1470">
        <v>2</v>
      </c>
      <c r="I1470" t="s">
        <v>33</v>
      </c>
      <c r="J1470" s="33" t="s">
        <v>142</v>
      </c>
    </row>
    <row r="1471" spans="1:10" x14ac:dyDescent="0.25">
      <c r="A1471" t="s">
        <v>68</v>
      </c>
      <c r="B1471">
        <v>6</v>
      </c>
      <c r="C1471" t="s">
        <v>34</v>
      </c>
      <c r="D1471" t="s">
        <v>70</v>
      </c>
      <c r="E1471" s="2">
        <v>53</v>
      </c>
      <c r="F1471">
        <v>0</v>
      </c>
      <c r="G1471">
        <v>53</v>
      </c>
      <c r="H1471">
        <v>0.8</v>
      </c>
      <c r="I1471" t="s">
        <v>32</v>
      </c>
      <c r="J1471" s="33" t="s">
        <v>142</v>
      </c>
    </row>
    <row r="1472" spans="1:10" x14ac:dyDescent="0.25">
      <c r="A1472" t="s">
        <v>68</v>
      </c>
      <c r="B1472">
        <v>6</v>
      </c>
      <c r="C1472" t="s">
        <v>34</v>
      </c>
      <c r="D1472" t="s">
        <v>70</v>
      </c>
      <c r="E1472" s="2">
        <v>53</v>
      </c>
      <c r="F1472">
        <v>0</v>
      </c>
      <c r="G1472">
        <v>53</v>
      </c>
      <c r="H1472">
        <v>1.3</v>
      </c>
      <c r="I1472" t="s">
        <v>33</v>
      </c>
      <c r="J1472" s="33" t="s">
        <v>142</v>
      </c>
    </row>
    <row r="1473" spans="1:10" x14ac:dyDescent="0.25">
      <c r="A1473" t="s">
        <v>29</v>
      </c>
      <c r="B1473">
        <v>2</v>
      </c>
      <c r="C1473" t="s">
        <v>30</v>
      </c>
      <c r="D1473" t="s">
        <v>36</v>
      </c>
      <c r="E1473" s="2">
        <v>54</v>
      </c>
      <c r="F1473">
        <v>0</v>
      </c>
      <c r="G1473">
        <v>54</v>
      </c>
      <c r="H1473">
        <v>10</v>
      </c>
      <c r="I1473" t="s">
        <v>33</v>
      </c>
      <c r="J1473" s="33" t="s">
        <v>142</v>
      </c>
    </row>
    <row r="1474" spans="1:10" x14ac:dyDescent="0.25">
      <c r="A1474" t="s">
        <v>29</v>
      </c>
      <c r="B1474">
        <v>2</v>
      </c>
      <c r="C1474" t="s">
        <v>34</v>
      </c>
      <c r="D1474" t="s">
        <v>37</v>
      </c>
      <c r="E1474" s="2">
        <v>54</v>
      </c>
      <c r="F1474">
        <v>0</v>
      </c>
      <c r="G1474">
        <v>54</v>
      </c>
      <c r="H1474">
        <v>4.5999999999999996</v>
      </c>
      <c r="I1474" t="s">
        <v>33</v>
      </c>
      <c r="J1474" s="33" t="s">
        <v>142</v>
      </c>
    </row>
    <row r="1475" spans="1:10" x14ac:dyDescent="0.25">
      <c r="A1475" t="s">
        <v>42</v>
      </c>
      <c r="B1475">
        <v>2</v>
      </c>
      <c r="C1475" t="s">
        <v>34</v>
      </c>
      <c r="D1475" t="s">
        <v>46</v>
      </c>
      <c r="E1475" s="2">
        <v>54</v>
      </c>
      <c r="F1475">
        <v>0</v>
      </c>
      <c r="G1475">
        <v>54</v>
      </c>
      <c r="H1475">
        <v>11.9</v>
      </c>
      <c r="I1475" t="s">
        <v>33</v>
      </c>
      <c r="J1475" s="33" t="s">
        <v>142</v>
      </c>
    </row>
    <row r="1476" spans="1:10" x14ac:dyDescent="0.25">
      <c r="A1476" t="s">
        <v>42</v>
      </c>
      <c r="B1476">
        <v>5</v>
      </c>
      <c r="C1476" t="s">
        <v>34</v>
      </c>
      <c r="D1476" t="s">
        <v>48</v>
      </c>
      <c r="E1476" s="2">
        <v>54</v>
      </c>
      <c r="F1476">
        <v>0</v>
      </c>
      <c r="G1476">
        <v>54</v>
      </c>
      <c r="H1476">
        <v>9.1999999999999993</v>
      </c>
      <c r="I1476" t="s">
        <v>33</v>
      </c>
      <c r="J1476" s="33" t="s">
        <v>142</v>
      </c>
    </row>
    <row r="1477" spans="1:10" x14ac:dyDescent="0.25">
      <c r="A1477" t="s">
        <v>42</v>
      </c>
      <c r="B1477">
        <v>3</v>
      </c>
      <c r="C1477" t="s">
        <v>30</v>
      </c>
      <c r="D1477" t="s">
        <v>49</v>
      </c>
      <c r="E1477" s="2">
        <v>54</v>
      </c>
      <c r="F1477">
        <v>0</v>
      </c>
      <c r="G1477">
        <v>54</v>
      </c>
      <c r="H1477">
        <v>14.5</v>
      </c>
      <c r="I1477" t="s">
        <v>33</v>
      </c>
      <c r="J1477" s="33" t="s">
        <v>142</v>
      </c>
    </row>
    <row r="1478" spans="1:10" x14ac:dyDescent="0.25">
      <c r="A1478" t="s">
        <v>42</v>
      </c>
      <c r="B1478">
        <v>3</v>
      </c>
      <c r="C1478" t="s">
        <v>30</v>
      </c>
      <c r="D1478" t="s">
        <v>49</v>
      </c>
      <c r="E1478" s="2">
        <v>54</v>
      </c>
      <c r="F1478">
        <v>0</v>
      </c>
      <c r="G1478">
        <v>54</v>
      </c>
      <c r="H1478">
        <v>12</v>
      </c>
      <c r="I1478" t="s">
        <v>33</v>
      </c>
      <c r="J1478" s="33" t="s">
        <v>142</v>
      </c>
    </row>
    <row r="1479" spans="1:10" x14ac:dyDescent="0.25">
      <c r="A1479" t="s">
        <v>54</v>
      </c>
      <c r="B1479">
        <v>4</v>
      </c>
      <c r="C1479" t="s">
        <v>30</v>
      </c>
      <c r="D1479" t="s">
        <v>61</v>
      </c>
      <c r="E1479" s="2">
        <v>54</v>
      </c>
      <c r="F1479">
        <v>0</v>
      </c>
      <c r="G1479">
        <v>54</v>
      </c>
      <c r="H1479">
        <v>1.8</v>
      </c>
      <c r="I1479" t="s">
        <v>33</v>
      </c>
      <c r="J1479" s="33" t="s">
        <v>142</v>
      </c>
    </row>
    <row r="1480" spans="1:10" x14ac:dyDescent="0.25">
      <c r="A1480" t="s">
        <v>63</v>
      </c>
      <c r="B1480">
        <v>5</v>
      </c>
      <c r="C1480" t="s">
        <v>34</v>
      </c>
      <c r="D1480" t="s">
        <v>65</v>
      </c>
      <c r="E1480" s="2">
        <v>54</v>
      </c>
      <c r="F1480">
        <v>0</v>
      </c>
      <c r="G1480">
        <v>54</v>
      </c>
      <c r="H1480">
        <v>1.6</v>
      </c>
      <c r="I1480" t="s">
        <v>33</v>
      </c>
      <c r="J1480" s="33" t="s">
        <v>142</v>
      </c>
    </row>
    <row r="1481" spans="1:10" x14ac:dyDescent="0.25">
      <c r="A1481" t="s">
        <v>63</v>
      </c>
      <c r="B1481">
        <v>5</v>
      </c>
      <c r="C1481" t="s">
        <v>34</v>
      </c>
      <c r="D1481" t="s">
        <v>65</v>
      </c>
      <c r="E1481" s="2">
        <v>54</v>
      </c>
      <c r="F1481">
        <v>0</v>
      </c>
      <c r="G1481">
        <v>54</v>
      </c>
      <c r="H1481">
        <v>1.4</v>
      </c>
      <c r="I1481" t="s">
        <v>33</v>
      </c>
      <c r="J1481" s="33" t="s">
        <v>142</v>
      </c>
    </row>
    <row r="1482" spans="1:10" x14ac:dyDescent="0.25">
      <c r="A1482" t="s">
        <v>29</v>
      </c>
      <c r="B1482">
        <v>1</v>
      </c>
      <c r="C1482" t="s">
        <v>34</v>
      </c>
      <c r="D1482" t="s">
        <v>35</v>
      </c>
      <c r="E1482" s="2">
        <v>55</v>
      </c>
      <c r="F1482">
        <v>0</v>
      </c>
      <c r="G1482">
        <v>55</v>
      </c>
      <c r="H1482">
        <v>1.6</v>
      </c>
      <c r="I1482" t="s">
        <v>33</v>
      </c>
      <c r="J1482" s="33" t="s">
        <v>142</v>
      </c>
    </row>
    <row r="1483" spans="1:10" x14ac:dyDescent="0.25">
      <c r="A1483" t="s">
        <v>29</v>
      </c>
      <c r="B1483">
        <v>1</v>
      </c>
      <c r="C1483" t="s">
        <v>34</v>
      </c>
      <c r="D1483" t="s">
        <v>35</v>
      </c>
      <c r="E1483" s="2">
        <v>55</v>
      </c>
      <c r="F1483">
        <v>0</v>
      </c>
      <c r="G1483">
        <v>55</v>
      </c>
      <c r="H1483">
        <v>8.3000000000000007</v>
      </c>
      <c r="I1483" t="s">
        <v>33</v>
      </c>
      <c r="J1483" s="33" t="s">
        <v>142</v>
      </c>
    </row>
    <row r="1484" spans="1:10" x14ac:dyDescent="0.25">
      <c r="A1484" t="s">
        <v>29</v>
      </c>
      <c r="B1484">
        <v>1</v>
      </c>
      <c r="C1484" t="s">
        <v>34</v>
      </c>
      <c r="D1484" t="s">
        <v>35</v>
      </c>
      <c r="E1484" s="2">
        <v>55</v>
      </c>
      <c r="F1484">
        <v>0</v>
      </c>
      <c r="G1484">
        <v>55</v>
      </c>
      <c r="H1484">
        <v>2.4</v>
      </c>
      <c r="I1484" t="s">
        <v>33</v>
      </c>
      <c r="J1484" s="33" t="s">
        <v>142</v>
      </c>
    </row>
    <row r="1485" spans="1:10" x14ac:dyDescent="0.25">
      <c r="A1485" t="s">
        <v>29</v>
      </c>
      <c r="B1485">
        <v>1</v>
      </c>
      <c r="C1485" t="s">
        <v>34</v>
      </c>
      <c r="D1485" t="s">
        <v>35</v>
      </c>
      <c r="E1485" s="2">
        <v>55</v>
      </c>
      <c r="F1485">
        <v>0</v>
      </c>
      <c r="G1485">
        <v>55</v>
      </c>
      <c r="H1485">
        <v>3.3</v>
      </c>
      <c r="I1485" t="s">
        <v>33</v>
      </c>
      <c r="J1485" s="33" t="s">
        <v>142</v>
      </c>
    </row>
    <row r="1486" spans="1:10" x14ac:dyDescent="0.25">
      <c r="A1486" t="s">
        <v>29</v>
      </c>
      <c r="B1486">
        <v>2</v>
      </c>
      <c r="C1486" t="s">
        <v>34</v>
      </c>
      <c r="D1486" t="s">
        <v>37</v>
      </c>
      <c r="E1486" s="2">
        <v>55</v>
      </c>
      <c r="F1486">
        <v>0</v>
      </c>
      <c r="G1486">
        <v>55</v>
      </c>
      <c r="H1486">
        <v>7.6</v>
      </c>
      <c r="I1486" t="s">
        <v>33</v>
      </c>
      <c r="J1486" s="33" t="s">
        <v>142</v>
      </c>
    </row>
    <row r="1487" spans="1:10" x14ac:dyDescent="0.25">
      <c r="A1487" t="s">
        <v>29</v>
      </c>
      <c r="B1487">
        <v>4</v>
      </c>
      <c r="C1487" t="s">
        <v>30</v>
      </c>
      <c r="D1487" t="s">
        <v>40</v>
      </c>
      <c r="E1487" s="2">
        <v>55</v>
      </c>
      <c r="F1487">
        <v>0</v>
      </c>
      <c r="G1487">
        <v>55</v>
      </c>
      <c r="H1487">
        <v>8.6</v>
      </c>
      <c r="I1487" t="s">
        <v>33</v>
      </c>
      <c r="J1487" s="33" t="s">
        <v>142</v>
      </c>
    </row>
    <row r="1488" spans="1:10" x14ac:dyDescent="0.25">
      <c r="A1488" t="s">
        <v>54</v>
      </c>
      <c r="B1488">
        <v>4</v>
      </c>
      <c r="C1488" t="s">
        <v>30</v>
      </c>
      <c r="D1488" t="s">
        <v>61</v>
      </c>
      <c r="E1488" s="2">
        <v>55</v>
      </c>
      <c r="F1488">
        <v>0</v>
      </c>
      <c r="G1488">
        <v>55</v>
      </c>
      <c r="H1488">
        <v>6.7</v>
      </c>
      <c r="I1488" t="s">
        <v>33</v>
      </c>
      <c r="J1488" s="33" t="s">
        <v>142</v>
      </c>
    </row>
    <row r="1489" spans="1:10" x14ac:dyDescent="0.25">
      <c r="A1489" t="s">
        <v>54</v>
      </c>
      <c r="B1489">
        <v>4</v>
      </c>
      <c r="C1489" t="s">
        <v>34</v>
      </c>
      <c r="D1489" t="s">
        <v>62</v>
      </c>
      <c r="E1489" s="2">
        <v>55</v>
      </c>
      <c r="F1489">
        <v>52</v>
      </c>
      <c r="G1489">
        <v>3</v>
      </c>
      <c r="H1489">
        <v>0</v>
      </c>
      <c r="I1489" t="s">
        <v>32</v>
      </c>
      <c r="J1489" s="33" t="s">
        <v>142</v>
      </c>
    </row>
    <row r="1490" spans="1:10" x14ac:dyDescent="0.25">
      <c r="A1490" t="s">
        <v>68</v>
      </c>
      <c r="B1490">
        <v>6</v>
      </c>
      <c r="C1490" t="s">
        <v>34</v>
      </c>
      <c r="D1490" t="s">
        <v>70</v>
      </c>
      <c r="E1490" s="2">
        <v>55</v>
      </c>
      <c r="F1490">
        <v>0</v>
      </c>
      <c r="G1490">
        <v>55</v>
      </c>
      <c r="H1490">
        <v>0.6</v>
      </c>
      <c r="I1490" t="s">
        <v>32</v>
      </c>
      <c r="J1490" s="33" t="s">
        <v>142</v>
      </c>
    </row>
    <row r="1491" spans="1:10" x14ac:dyDescent="0.25">
      <c r="A1491" t="s">
        <v>29</v>
      </c>
      <c r="B1491">
        <v>3</v>
      </c>
      <c r="C1491" t="s">
        <v>34</v>
      </c>
      <c r="D1491" t="s">
        <v>39</v>
      </c>
      <c r="E1491" s="2">
        <v>56</v>
      </c>
      <c r="F1491">
        <v>0</v>
      </c>
      <c r="G1491">
        <v>56</v>
      </c>
      <c r="H1491">
        <v>2</v>
      </c>
      <c r="I1491" t="s">
        <v>33</v>
      </c>
      <c r="J1491" s="33" t="s">
        <v>142</v>
      </c>
    </row>
    <row r="1492" spans="1:10" x14ac:dyDescent="0.25">
      <c r="A1492" t="s">
        <v>29</v>
      </c>
      <c r="B1492">
        <v>4</v>
      </c>
      <c r="C1492" t="s">
        <v>34</v>
      </c>
      <c r="D1492" t="s">
        <v>41</v>
      </c>
      <c r="E1492" s="2">
        <v>56</v>
      </c>
      <c r="F1492">
        <v>0</v>
      </c>
      <c r="G1492">
        <v>56</v>
      </c>
      <c r="H1492">
        <v>1.3</v>
      </c>
      <c r="I1492" t="s">
        <v>33</v>
      </c>
      <c r="J1492" s="33" t="s">
        <v>142</v>
      </c>
    </row>
    <row r="1493" spans="1:10" x14ac:dyDescent="0.25">
      <c r="A1493" t="s">
        <v>42</v>
      </c>
      <c r="B1493">
        <v>1</v>
      </c>
      <c r="C1493" t="s">
        <v>30</v>
      </c>
      <c r="D1493" t="s">
        <v>43</v>
      </c>
      <c r="E1493" s="2">
        <v>56</v>
      </c>
      <c r="F1493">
        <v>0</v>
      </c>
      <c r="G1493">
        <v>56</v>
      </c>
      <c r="H1493">
        <v>4.5999999999999996</v>
      </c>
      <c r="I1493" t="s">
        <v>33</v>
      </c>
      <c r="J1493" s="33" t="s">
        <v>142</v>
      </c>
    </row>
    <row r="1494" spans="1:10" x14ac:dyDescent="0.25">
      <c r="A1494" t="s">
        <v>42</v>
      </c>
      <c r="B1494">
        <v>1</v>
      </c>
      <c r="C1494" t="s">
        <v>34</v>
      </c>
      <c r="D1494" t="s">
        <v>44</v>
      </c>
      <c r="E1494" s="2">
        <v>56</v>
      </c>
      <c r="F1494">
        <v>0</v>
      </c>
      <c r="G1494">
        <v>56</v>
      </c>
      <c r="H1494">
        <v>16</v>
      </c>
      <c r="I1494" t="s">
        <v>33</v>
      </c>
      <c r="J1494" s="33" t="s">
        <v>142</v>
      </c>
    </row>
    <row r="1495" spans="1:10" x14ac:dyDescent="0.25">
      <c r="A1495" t="s">
        <v>42</v>
      </c>
      <c r="B1495">
        <v>2</v>
      </c>
      <c r="C1495" t="s">
        <v>34</v>
      </c>
      <c r="D1495" t="s">
        <v>46</v>
      </c>
      <c r="E1495" s="2">
        <v>56</v>
      </c>
      <c r="F1495">
        <v>0</v>
      </c>
      <c r="G1495">
        <v>56</v>
      </c>
      <c r="H1495">
        <v>1.7</v>
      </c>
      <c r="I1495" t="s">
        <v>33</v>
      </c>
      <c r="J1495" s="33" t="s">
        <v>142</v>
      </c>
    </row>
    <row r="1496" spans="1:10" x14ac:dyDescent="0.25">
      <c r="A1496" t="s">
        <v>42</v>
      </c>
      <c r="B1496">
        <v>2</v>
      </c>
      <c r="C1496" t="s">
        <v>34</v>
      </c>
      <c r="D1496" t="s">
        <v>46</v>
      </c>
      <c r="E1496" s="2">
        <v>56</v>
      </c>
      <c r="F1496">
        <v>0</v>
      </c>
      <c r="G1496">
        <v>56</v>
      </c>
      <c r="H1496">
        <v>11.7</v>
      </c>
      <c r="I1496" t="s">
        <v>33</v>
      </c>
      <c r="J1496" s="33" t="s">
        <v>142</v>
      </c>
    </row>
    <row r="1497" spans="1:10" x14ac:dyDescent="0.25">
      <c r="A1497" t="s">
        <v>42</v>
      </c>
      <c r="B1497">
        <v>5</v>
      </c>
      <c r="C1497" t="s">
        <v>30</v>
      </c>
      <c r="D1497" t="s">
        <v>47</v>
      </c>
      <c r="E1497" s="2">
        <v>56</v>
      </c>
      <c r="F1497">
        <v>0</v>
      </c>
      <c r="G1497">
        <v>56</v>
      </c>
      <c r="H1497">
        <v>2.2999999999999998</v>
      </c>
      <c r="I1497" t="s">
        <v>33</v>
      </c>
      <c r="J1497" s="33" t="s">
        <v>142</v>
      </c>
    </row>
    <row r="1498" spans="1:10" x14ac:dyDescent="0.25">
      <c r="A1498" t="s">
        <v>54</v>
      </c>
      <c r="B1498">
        <v>4</v>
      </c>
      <c r="C1498" t="s">
        <v>30</v>
      </c>
      <c r="D1498" t="s">
        <v>61</v>
      </c>
      <c r="E1498" s="2">
        <v>56</v>
      </c>
      <c r="F1498">
        <v>0</v>
      </c>
      <c r="G1498">
        <v>56</v>
      </c>
      <c r="H1498">
        <v>8</v>
      </c>
      <c r="I1498" t="s">
        <v>33</v>
      </c>
      <c r="J1498" s="33" t="s">
        <v>142</v>
      </c>
    </row>
    <row r="1499" spans="1:10" x14ac:dyDescent="0.25">
      <c r="A1499" t="s">
        <v>63</v>
      </c>
      <c r="B1499">
        <v>5</v>
      </c>
      <c r="C1499" t="s">
        <v>34</v>
      </c>
      <c r="D1499" t="s">
        <v>65</v>
      </c>
      <c r="E1499" s="2">
        <v>56</v>
      </c>
      <c r="F1499">
        <v>0</v>
      </c>
      <c r="G1499">
        <v>56</v>
      </c>
      <c r="H1499">
        <v>2.2999999999999998</v>
      </c>
      <c r="I1499" t="s">
        <v>33</v>
      </c>
      <c r="J1499" s="33" t="s">
        <v>142</v>
      </c>
    </row>
    <row r="1500" spans="1:10" x14ac:dyDescent="0.25">
      <c r="A1500" t="s">
        <v>63</v>
      </c>
      <c r="B1500">
        <v>1</v>
      </c>
      <c r="C1500" t="s">
        <v>34</v>
      </c>
      <c r="D1500" t="s">
        <v>67</v>
      </c>
      <c r="E1500" s="2">
        <v>56</v>
      </c>
      <c r="F1500">
        <v>0</v>
      </c>
      <c r="G1500">
        <v>56</v>
      </c>
      <c r="H1500">
        <v>13.5</v>
      </c>
      <c r="I1500" t="s">
        <v>33</v>
      </c>
      <c r="J1500" s="33" t="s">
        <v>142</v>
      </c>
    </row>
    <row r="1501" spans="1:10" x14ac:dyDescent="0.25">
      <c r="A1501" t="s">
        <v>71</v>
      </c>
      <c r="B1501">
        <v>10</v>
      </c>
      <c r="C1501" t="s">
        <v>34</v>
      </c>
      <c r="D1501" t="s">
        <v>75</v>
      </c>
      <c r="E1501" s="2">
        <v>56</v>
      </c>
      <c r="F1501">
        <v>0</v>
      </c>
      <c r="G1501">
        <v>56</v>
      </c>
      <c r="H1501">
        <v>6.4</v>
      </c>
      <c r="I1501" t="s">
        <v>33</v>
      </c>
      <c r="J1501" s="33" t="s">
        <v>142</v>
      </c>
    </row>
    <row r="1502" spans="1:10" x14ac:dyDescent="0.25">
      <c r="A1502" t="s">
        <v>29</v>
      </c>
      <c r="B1502">
        <v>3</v>
      </c>
      <c r="C1502" t="s">
        <v>34</v>
      </c>
      <c r="D1502" t="s">
        <v>39</v>
      </c>
      <c r="E1502" s="2">
        <v>57</v>
      </c>
      <c r="F1502">
        <v>6</v>
      </c>
      <c r="G1502">
        <v>51</v>
      </c>
      <c r="H1502">
        <v>2.4</v>
      </c>
      <c r="I1502" t="s">
        <v>33</v>
      </c>
      <c r="J1502" s="33" t="s">
        <v>142</v>
      </c>
    </row>
    <row r="1503" spans="1:10" x14ac:dyDescent="0.25">
      <c r="A1503" t="s">
        <v>29</v>
      </c>
      <c r="B1503">
        <v>4</v>
      </c>
      <c r="C1503" t="s">
        <v>30</v>
      </c>
      <c r="D1503" t="s">
        <v>40</v>
      </c>
      <c r="E1503" s="2">
        <v>57</v>
      </c>
      <c r="F1503">
        <v>0</v>
      </c>
      <c r="G1503">
        <v>57</v>
      </c>
      <c r="H1503">
        <v>13.4</v>
      </c>
      <c r="I1503" t="s">
        <v>33</v>
      </c>
      <c r="J1503" s="33" t="s">
        <v>142</v>
      </c>
    </row>
    <row r="1504" spans="1:10" x14ac:dyDescent="0.25">
      <c r="A1504" t="s">
        <v>42</v>
      </c>
      <c r="B1504">
        <v>2</v>
      </c>
      <c r="C1504" t="s">
        <v>30</v>
      </c>
      <c r="D1504" t="s">
        <v>45</v>
      </c>
      <c r="E1504" s="2">
        <v>57</v>
      </c>
      <c r="F1504">
        <v>57</v>
      </c>
      <c r="G1504">
        <v>0</v>
      </c>
      <c r="H1504">
        <v>0</v>
      </c>
      <c r="I1504" t="s">
        <v>32</v>
      </c>
      <c r="J1504" s="33" t="s">
        <v>142</v>
      </c>
    </row>
    <row r="1505" spans="1:10" x14ac:dyDescent="0.25">
      <c r="A1505" t="s">
        <v>42</v>
      </c>
      <c r="B1505">
        <v>3</v>
      </c>
      <c r="C1505" t="s">
        <v>34</v>
      </c>
      <c r="D1505" t="s">
        <v>50</v>
      </c>
      <c r="E1505" s="2">
        <v>57</v>
      </c>
      <c r="F1505">
        <v>0</v>
      </c>
      <c r="G1505">
        <v>57</v>
      </c>
      <c r="H1505">
        <v>6</v>
      </c>
      <c r="I1505" t="s">
        <v>33</v>
      </c>
      <c r="J1505" s="33" t="s">
        <v>142</v>
      </c>
    </row>
    <row r="1506" spans="1:10" x14ac:dyDescent="0.25">
      <c r="A1506" t="s">
        <v>42</v>
      </c>
      <c r="B1506">
        <v>3</v>
      </c>
      <c r="C1506" t="s">
        <v>34</v>
      </c>
      <c r="D1506" t="s">
        <v>50</v>
      </c>
      <c r="E1506" s="2">
        <v>57</v>
      </c>
      <c r="F1506">
        <v>0</v>
      </c>
      <c r="G1506">
        <v>57</v>
      </c>
      <c r="H1506">
        <v>17.2</v>
      </c>
      <c r="I1506" t="s">
        <v>33</v>
      </c>
      <c r="J1506" s="33" t="s">
        <v>142</v>
      </c>
    </row>
    <row r="1507" spans="1:10" x14ac:dyDescent="0.25">
      <c r="A1507" t="s">
        <v>42</v>
      </c>
      <c r="B1507">
        <v>3</v>
      </c>
      <c r="C1507" t="s">
        <v>34</v>
      </c>
      <c r="D1507" t="s">
        <v>50</v>
      </c>
      <c r="E1507" s="2">
        <v>57</v>
      </c>
      <c r="F1507">
        <v>0</v>
      </c>
      <c r="G1507">
        <v>57</v>
      </c>
      <c r="H1507">
        <v>0.7</v>
      </c>
      <c r="I1507" t="s">
        <v>32</v>
      </c>
      <c r="J1507" s="33" t="s">
        <v>142</v>
      </c>
    </row>
    <row r="1508" spans="1:10" x14ac:dyDescent="0.25">
      <c r="A1508" t="s">
        <v>54</v>
      </c>
      <c r="B1508">
        <v>1</v>
      </c>
      <c r="C1508" t="s">
        <v>30</v>
      </c>
      <c r="D1508" t="s">
        <v>55</v>
      </c>
      <c r="E1508" s="2">
        <v>57</v>
      </c>
      <c r="F1508">
        <v>0</v>
      </c>
      <c r="G1508">
        <v>57</v>
      </c>
      <c r="H1508">
        <v>8.5</v>
      </c>
      <c r="I1508" t="s">
        <v>33</v>
      </c>
      <c r="J1508" s="33" t="s">
        <v>142</v>
      </c>
    </row>
    <row r="1509" spans="1:10" x14ac:dyDescent="0.25">
      <c r="A1509" t="s">
        <v>54</v>
      </c>
      <c r="B1509">
        <v>1</v>
      </c>
      <c r="C1509" t="s">
        <v>30</v>
      </c>
      <c r="D1509" t="s">
        <v>55</v>
      </c>
      <c r="E1509" s="2">
        <v>57</v>
      </c>
      <c r="F1509">
        <v>51</v>
      </c>
      <c r="G1509">
        <v>6</v>
      </c>
      <c r="H1509">
        <v>0</v>
      </c>
      <c r="I1509" t="s">
        <v>32</v>
      </c>
      <c r="J1509" s="33" t="s">
        <v>142</v>
      </c>
    </row>
    <row r="1510" spans="1:10" x14ac:dyDescent="0.25">
      <c r="A1510" t="s">
        <v>63</v>
      </c>
      <c r="B1510">
        <v>1</v>
      </c>
      <c r="C1510" t="s">
        <v>34</v>
      </c>
      <c r="D1510" t="s">
        <v>67</v>
      </c>
      <c r="E1510" s="2">
        <v>57</v>
      </c>
      <c r="F1510">
        <v>0</v>
      </c>
      <c r="G1510">
        <v>57</v>
      </c>
      <c r="H1510">
        <v>2.2999999999999998</v>
      </c>
      <c r="I1510" t="s">
        <v>33</v>
      </c>
      <c r="J1510" s="33" t="s">
        <v>142</v>
      </c>
    </row>
    <row r="1511" spans="1:10" x14ac:dyDescent="0.25">
      <c r="A1511" t="s">
        <v>63</v>
      </c>
      <c r="B1511">
        <v>1</v>
      </c>
      <c r="C1511" t="s">
        <v>34</v>
      </c>
      <c r="D1511" t="s">
        <v>67</v>
      </c>
      <c r="E1511" s="2">
        <v>57</v>
      </c>
      <c r="F1511">
        <v>0</v>
      </c>
      <c r="G1511">
        <v>57</v>
      </c>
      <c r="H1511">
        <v>2.1</v>
      </c>
      <c r="I1511" t="s">
        <v>33</v>
      </c>
      <c r="J1511" s="33" t="s">
        <v>142</v>
      </c>
    </row>
    <row r="1512" spans="1:10" x14ac:dyDescent="0.25">
      <c r="A1512" t="s">
        <v>71</v>
      </c>
      <c r="B1512">
        <v>10</v>
      </c>
      <c r="C1512" t="s">
        <v>30</v>
      </c>
      <c r="D1512" t="s">
        <v>74</v>
      </c>
      <c r="E1512" s="2">
        <v>57</v>
      </c>
      <c r="F1512">
        <v>0</v>
      </c>
      <c r="G1512">
        <v>57</v>
      </c>
      <c r="H1512">
        <v>3.3</v>
      </c>
      <c r="I1512" t="s">
        <v>33</v>
      </c>
      <c r="J1512" s="33" t="s">
        <v>142</v>
      </c>
    </row>
    <row r="1513" spans="1:10" x14ac:dyDescent="0.25">
      <c r="A1513" t="s">
        <v>29</v>
      </c>
      <c r="B1513">
        <v>1</v>
      </c>
      <c r="C1513" t="s">
        <v>30</v>
      </c>
      <c r="D1513" t="s">
        <v>31</v>
      </c>
      <c r="E1513" s="2">
        <v>58</v>
      </c>
      <c r="F1513">
        <v>0</v>
      </c>
      <c r="G1513">
        <v>58</v>
      </c>
      <c r="H1513">
        <v>0.1</v>
      </c>
      <c r="I1513" t="s">
        <v>32</v>
      </c>
      <c r="J1513" s="33" t="s">
        <v>142</v>
      </c>
    </row>
    <row r="1514" spans="1:10" x14ac:dyDescent="0.25">
      <c r="A1514" t="s">
        <v>29</v>
      </c>
      <c r="B1514">
        <v>1</v>
      </c>
      <c r="C1514" t="s">
        <v>34</v>
      </c>
      <c r="D1514" t="s">
        <v>35</v>
      </c>
      <c r="E1514" s="2">
        <v>58</v>
      </c>
      <c r="F1514">
        <v>0</v>
      </c>
      <c r="G1514">
        <v>58</v>
      </c>
      <c r="H1514">
        <v>2</v>
      </c>
      <c r="I1514" t="s">
        <v>33</v>
      </c>
      <c r="J1514" s="33" t="s">
        <v>142</v>
      </c>
    </row>
    <row r="1515" spans="1:10" x14ac:dyDescent="0.25">
      <c r="A1515" t="s">
        <v>29</v>
      </c>
      <c r="B1515">
        <v>1</v>
      </c>
      <c r="C1515" t="s">
        <v>34</v>
      </c>
      <c r="D1515" t="s">
        <v>35</v>
      </c>
      <c r="E1515" s="2">
        <v>58</v>
      </c>
      <c r="F1515">
        <v>0</v>
      </c>
      <c r="G1515">
        <v>58</v>
      </c>
      <c r="H1515">
        <v>2.2000000000000002</v>
      </c>
      <c r="I1515" t="s">
        <v>33</v>
      </c>
      <c r="J1515" s="33" t="s">
        <v>142</v>
      </c>
    </row>
    <row r="1516" spans="1:10" x14ac:dyDescent="0.25">
      <c r="A1516" t="s">
        <v>29</v>
      </c>
      <c r="B1516">
        <v>3</v>
      </c>
      <c r="C1516" t="s">
        <v>30</v>
      </c>
      <c r="D1516" t="s">
        <v>38</v>
      </c>
      <c r="E1516" s="2">
        <v>58</v>
      </c>
      <c r="F1516">
        <v>0</v>
      </c>
      <c r="G1516">
        <v>58</v>
      </c>
      <c r="H1516">
        <v>10</v>
      </c>
      <c r="I1516" t="s">
        <v>33</v>
      </c>
      <c r="J1516" s="33" t="s">
        <v>142</v>
      </c>
    </row>
    <row r="1517" spans="1:10" x14ac:dyDescent="0.25">
      <c r="A1517" t="s">
        <v>42</v>
      </c>
      <c r="B1517">
        <v>1</v>
      </c>
      <c r="C1517" t="s">
        <v>34</v>
      </c>
      <c r="D1517" t="s">
        <v>44</v>
      </c>
      <c r="E1517" s="2">
        <v>58</v>
      </c>
      <c r="F1517">
        <v>0</v>
      </c>
      <c r="G1517">
        <v>58</v>
      </c>
      <c r="H1517">
        <v>4.0999999999999996</v>
      </c>
      <c r="I1517" t="s">
        <v>33</v>
      </c>
      <c r="J1517" s="33" t="s">
        <v>142</v>
      </c>
    </row>
    <row r="1518" spans="1:10" x14ac:dyDescent="0.25">
      <c r="A1518" t="s">
        <v>68</v>
      </c>
      <c r="B1518">
        <v>6</v>
      </c>
      <c r="C1518" t="s">
        <v>34</v>
      </c>
      <c r="D1518" t="s">
        <v>70</v>
      </c>
      <c r="E1518" s="2">
        <v>58</v>
      </c>
      <c r="F1518">
        <v>0</v>
      </c>
      <c r="G1518">
        <v>58</v>
      </c>
      <c r="H1518">
        <v>3.9</v>
      </c>
      <c r="I1518" t="s">
        <v>33</v>
      </c>
      <c r="J1518" s="33" t="s">
        <v>142</v>
      </c>
    </row>
    <row r="1519" spans="1:10" x14ac:dyDescent="0.25">
      <c r="A1519" t="s">
        <v>68</v>
      </c>
      <c r="B1519">
        <v>6</v>
      </c>
      <c r="C1519" t="s">
        <v>34</v>
      </c>
      <c r="D1519" t="s">
        <v>70</v>
      </c>
      <c r="E1519" s="2">
        <v>58</v>
      </c>
      <c r="F1519">
        <v>0</v>
      </c>
      <c r="G1519">
        <v>58</v>
      </c>
      <c r="H1519">
        <v>10.8</v>
      </c>
      <c r="I1519" t="s">
        <v>33</v>
      </c>
      <c r="J1519" s="33" t="s">
        <v>142</v>
      </c>
    </row>
    <row r="1520" spans="1:10" x14ac:dyDescent="0.25">
      <c r="A1520" t="s">
        <v>71</v>
      </c>
      <c r="B1520">
        <v>8</v>
      </c>
      <c r="C1520" t="s">
        <v>34</v>
      </c>
      <c r="D1520" t="s">
        <v>73</v>
      </c>
      <c r="E1520" s="2">
        <v>58</v>
      </c>
      <c r="F1520">
        <v>0</v>
      </c>
      <c r="G1520">
        <v>58</v>
      </c>
      <c r="H1520">
        <v>2.4</v>
      </c>
      <c r="I1520" t="s">
        <v>33</v>
      </c>
      <c r="J1520" s="33" t="s">
        <v>142</v>
      </c>
    </row>
    <row r="1521" spans="1:10" x14ac:dyDescent="0.25">
      <c r="A1521" t="s">
        <v>71</v>
      </c>
      <c r="B1521">
        <v>11</v>
      </c>
      <c r="C1521" t="s">
        <v>34</v>
      </c>
      <c r="D1521" t="s">
        <v>77</v>
      </c>
      <c r="E1521" s="2">
        <v>58</v>
      </c>
      <c r="F1521">
        <v>0</v>
      </c>
      <c r="G1521">
        <v>58</v>
      </c>
      <c r="H1521">
        <v>4.5</v>
      </c>
      <c r="I1521" t="s">
        <v>33</v>
      </c>
      <c r="J1521" s="33" t="s">
        <v>142</v>
      </c>
    </row>
    <row r="1522" spans="1:10" x14ac:dyDescent="0.25">
      <c r="A1522" t="s">
        <v>42</v>
      </c>
      <c r="B1522">
        <v>2</v>
      </c>
      <c r="C1522" t="s">
        <v>34</v>
      </c>
      <c r="D1522" t="s">
        <v>46</v>
      </c>
      <c r="E1522" s="2">
        <v>59</v>
      </c>
      <c r="F1522">
        <v>0</v>
      </c>
      <c r="G1522">
        <v>59</v>
      </c>
      <c r="H1522">
        <v>19.8</v>
      </c>
      <c r="I1522" t="s">
        <v>33</v>
      </c>
      <c r="J1522" s="33" t="s">
        <v>142</v>
      </c>
    </row>
    <row r="1523" spans="1:10" x14ac:dyDescent="0.25">
      <c r="A1523" t="s">
        <v>54</v>
      </c>
      <c r="B1523">
        <v>4</v>
      </c>
      <c r="C1523" t="s">
        <v>30</v>
      </c>
      <c r="D1523" t="s">
        <v>61</v>
      </c>
      <c r="E1523" s="2">
        <v>59</v>
      </c>
      <c r="F1523">
        <v>0</v>
      </c>
      <c r="G1523">
        <v>59</v>
      </c>
      <c r="H1523">
        <v>0.6</v>
      </c>
      <c r="I1523" t="s">
        <v>32</v>
      </c>
      <c r="J1523" s="33" t="s">
        <v>142</v>
      </c>
    </row>
    <row r="1524" spans="1:10" x14ac:dyDescent="0.25">
      <c r="A1524" t="s">
        <v>54</v>
      </c>
      <c r="B1524">
        <v>4</v>
      </c>
      <c r="C1524" t="s">
        <v>34</v>
      </c>
      <c r="D1524" t="s">
        <v>62</v>
      </c>
      <c r="E1524" s="2">
        <v>59</v>
      </c>
      <c r="F1524">
        <v>0</v>
      </c>
      <c r="G1524">
        <v>59</v>
      </c>
      <c r="H1524">
        <v>0.2</v>
      </c>
      <c r="I1524" t="s">
        <v>32</v>
      </c>
      <c r="J1524" s="33" t="s">
        <v>142</v>
      </c>
    </row>
    <row r="1525" spans="1:10" x14ac:dyDescent="0.25">
      <c r="A1525" t="s">
        <v>71</v>
      </c>
      <c r="B1525">
        <v>10</v>
      </c>
      <c r="C1525" t="s">
        <v>30</v>
      </c>
      <c r="D1525" t="s">
        <v>74</v>
      </c>
      <c r="E1525" s="2">
        <v>59</v>
      </c>
      <c r="F1525">
        <v>0</v>
      </c>
      <c r="G1525">
        <v>59</v>
      </c>
      <c r="H1525">
        <v>0.6</v>
      </c>
      <c r="I1525" t="s">
        <v>32</v>
      </c>
      <c r="J1525" s="33" t="s">
        <v>142</v>
      </c>
    </row>
    <row r="1526" spans="1:10" x14ac:dyDescent="0.25">
      <c r="A1526" t="s">
        <v>42</v>
      </c>
      <c r="B1526">
        <v>3</v>
      </c>
      <c r="C1526" t="s">
        <v>34</v>
      </c>
      <c r="D1526" t="s">
        <v>50</v>
      </c>
      <c r="E1526" s="2">
        <v>60</v>
      </c>
      <c r="F1526">
        <v>0</v>
      </c>
      <c r="G1526">
        <v>60</v>
      </c>
      <c r="H1526">
        <v>7.5</v>
      </c>
      <c r="I1526" t="s">
        <v>33</v>
      </c>
      <c r="J1526" s="33" t="s">
        <v>142</v>
      </c>
    </row>
    <row r="1527" spans="1:10" x14ac:dyDescent="0.25">
      <c r="A1527" t="s">
        <v>68</v>
      </c>
      <c r="B1527">
        <v>6</v>
      </c>
      <c r="C1527" t="s">
        <v>34</v>
      </c>
      <c r="D1527" t="s">
        <v>70</v>
      </c>
      <c r="E1527" s="2">
        <v>60</v>
      </c>
      <c r="F1527">
        <v>0</v>
      </c>
      <c r="G1527">
        <v>60</v>
      </c>
      <c r="H1527">
        <v>2</v>
      </c>
      <c r="I1527" t="s">
        <v>33</v>
      </c>
      <c r="J1527" s="33" t="s">
        <v>142</v>
      </c>
    </row>
    <row r="1528" spans="1:10" x14ac:dyDescent="0.25">
      <c r="A1528" t="s">
        <v>71</v>
      </c>
      <c r="B1528">
        <v>11</v>
      </c>
      <c r="C1528" t="s">
        <v>30</v>
      </c>
      <c r="D1528" t="s">
        <v>76</v>
      </c>
      <c r="E1528" s="2">
        <v>60</v>
      </c>
      <c r="F1528">
        <v>0</v>
      </c>
      <c r="G1528">
        <v>60</v>
      </c>
      <c r="H1528">
        <v>3.5</v>
      </c>
      <c r="I1528" t="s">
        <v>33</v>
      </c>
      <c r="J1528" s="33" t="s">
        <v>142</v>
      </c>
    </row>
    <row r="1529" spans="1:10" x14ac:dyDescent="0.25">
      <c r="A1529" t="s">
        <v>71</v>
      </c>
      <c r="B1529">
        <v>11</v>
      </c>
      <c r="C1529" t="s">
        <v>30</v>
      </c>
      <c r="D1529" t="s">
        <v>76</v>
      </c>
      <c r="E1529" s="2">
        <v>60</v>
      </c>
      <c r="F1529">
        <v>0</v>
      </c>
      <c r="G1529">
        <v>60</v>
      </c>
      <c r="H1529">
        <v>2.6</v>
      </c>
      <c r="I1529" t="s">
        <v>33</v>
      </c>
      <c r="J1529" s="33" t="s">
        <v>142</v>
      </c>
    </row>
    <row r="1530" spans="1:10" x14ac:dyDescent="0.25">
      <c r="A1530" t="s">
        <v>71</v>
      </c>
      <c r="B1530">
        <v>11</v>
      </c>
      <c r="C1530" t="s">
        <v>30</v>
      </c>
      <c r="D1530" t="s">
        <v>76</v>
      </c>
      <c r="E1530" s="2">
        <v>60</v>
      </c>
      <c r="F1530">
        <v>0</v>
      </c>
      <c r="G1530">
        <v>60</v>
      </c>
      <c r="H1530">
        <v>2.5</v>
      </c>
      <c r="I1530" t="s">
        <v>33</v>
      </c>
      <c r="J1530" s="33" t="s">
        <v>142</v>
      </c>
    </row>
    <row r="1531" spans="1:10" x14ac:dyDescent="0.25">
      <c r="A1531" t="s">
        <v>29</v>
      </c>
      <c r="B1531">
        <v>1</v>
      </c>
      <c r="C1531" t="s">
        <v>34</v>
      </c>
      <c r="D1531" t="s">
        <v>35</v>
      </c>
      <c r="E1531" s="2">
        <v>61</v>
      </c>
      <c r="F1531">
        <v>0</v>
      </c>
      <c r="G1531">
        <v>61</v>
      </c>
      <c r="H1531">
        <v>2</v>
      </c>
      <c r="I1531" t="s">
        <v>33</v>
      </c>
      <c r="J1531" s="33" t="s">
        <v>142</v>
      </c>
    </row>
    <row r="1532" spans="1:10" x14ac:dyDescent="0.25">
      <c r="A1532" t="s">
        <v>29</v>
      </c>
      <c r="B1532">
        <v>1</v>
      </c>
      <c r="C1532" t="s">
        <v>34</v>
      </c>
      <c r="D1532" t="s">
        <v>35</v>
      </c>
      <c r="E1532" s="2">
        <v>61</v>
      </c>
      <c r="F1532">
        <v>0</v>
      </c>
      <c r="G1532">
        <v>61</v>
      </c>
      <c r="H1532">
        <v>5.3</v>
      </c>
      <c r="I1532" t="s">
        <v>33</v>
      </c>
      <c r="J1532" s="33" t="s">
        <v>142</v>
      </c>
    </row>
    <row r="1533" spans="1:10" x14ac:dyDescent="0.25">
      <c r="A1533" t="s">
        <v>42</v>
      </c>
      <c r="B1533">
        <v>1</v>
      </c>
      <c r="C1533" t="s">
        <v>34</v>
      </c>
      <c r="D1533" t="s">
        <v>44</v>
      </c>
      <c r="E1533" s="2">
        <v>61</v>
      </c>
      <c r="F1533">
        <v>0</v>
      </c>
      <c r="G1533">
        <v>61</v>
      </c>
      <c r="H1533">
        <v>8.3000000000000007</v>
      </c>
      <c r="I1533" t="s">
        <v>33</v>
      </c>
      <c r="J1533" s="33" t="s">
        <v>142</v>
      </c>
    </row>
    <row r="1534" spans="1:10" x14ac:dyDescent="0.25">
      <c r="A1534" t="s">
        <v>42</v>
      </c>
      <c r="B1534">
        <v>3</v>
      </c>
      <c r="C1534" t="s">
        <v>34</v>
      </c>
      <c r="D1534" t="s">
        <v>50</v>
      </c>
      <c r="E1534" s="2">
        <v>61</v>
      </c>
      <c r="F1534">
        <v>0</v>
      </c>
      <c r="G1534">
        <v>61</v>
      </c>
      <c r="H1534">
        <v>6.4</v>
      </c>
      <c r="I1534" t="s">
        <v>33</v>
      </c>
      <c r="J1534" s="33" t="s">
        <v>142</v>
      </c>
    </row>
    <row r="1535" spans="1:10" x14ac:dyDescent="0.25">
      <c r="A1535" t="s">
        <v>42</v>
      </c>
      <c r="B1535">
        <v>4</v>
      </c>
      <c r="C1535" t="s">
        <v>30</v>
      </c>
      <c r="D1535" t="s">
        <v>51</v>
      </c>
      <c r="E1535" s="2">
        <v>61</v>
      </c>
      <c r="F1535">
        <v>0</v>
      </c>
      <c r="G1535">
        <v>61</v>
      </c>
      <c r="H1535">
        <v>13</v>
      </c>
      <c r="I1535" t="s">
        <v>33</v>
      </c>
      <c r="J1535" s="33" t="s">
        <v>142</v>
      </c>
    </row>
    <row r="1536" spans="1:10" x14ac:dyDescent="0.25">
      <c r="A1536" t="s">
        <v>63</v>
      </c>
      <c r="B1536">
        <v>5</v>
      </c>
      <c r="C1536" t="s">
        <v>34</v>
      </c>
      <c r="D1536" t="s">
        <v>65</v>
      </c>
      <c r="E1536" s="2">
        <v>61</v>
      </c>
      <c r="F1536">
        <v>0</v>
      </c>
      <c r="G1536">
        <v>61</v>
      </c>
      <c r="H1536">
        <v>0.6</v>
      </c>
      <c r="I1536" t="s">
        <v>32</v>
      </c>
      <c r="J1536" s="33" t="s">
        <v>142</v>
      </c>
    </row>
    <row r="1537" spans="1:10" x14ac:dyDescent="0.25">
      <c r="A1537" t="s">
        <v>71</v>
      </c>
      <c r="B1537">
        <v>11</v>
      </c>
      <c r="C1537" t="s">
        <v>30</v>
      </c>
      <c r="D1537" t="s">
        <v>76</v>
      </c>
      <c r="E1537" s="2">
        <v>61</v>
      </c>
      <c r="F1537">
        <v>0</v>
      </c>
      <c r="G1537">
        <v>61</v>
      </c>
      <c r="H1537">
        <v>2.6</v>
      </c>
      <c r="I1537" t="s">
        <v>33</v>
      </c>
      <c r="J1537" s="33" t="s">
        <v>142</v>
      </c>
    </row>
    <row r="1538" spans="1:10" x14ac:dyDescent="0.25">
      <c r="A1538" t="s">
        <v>71</v>
      </c>
      <c r="B1538">
        <v>11</v>
      </c>
      <c r="C1538" t="s">
        <v>34</v>
      </c>
      <c r="D1538" t="s">
        <v>77</v>
      </c>
      <c r="E1538" s="2">
        <v>61</v>
      </c>
      <c r="F1538">
        <v>0</v>
      </c>
      <c r="G1538">
        <v>61</v>
      </c>
      <c r="H1538">
        <v>1.7</v>
      </c>
      <c r="I1538" t="s">
        <v>33</v>
      </c>
      <c r="J1538" s="33" t="s">
        <v>142</v>
      </c>
    </row>
    <row r="1539" spans="1:10" x14ac:dyDescent="0.25">
      <c r="A1539" t="s">
        <v>29</v>
      </c>
      <c r="B1539">
        <v>1</v>
      </c>
      <c r="C1539" t="s">
        <v>34</v>
      </c>
      <c r="D1539" t="s">
        <v>35</v>
      </c>
      <c r="E1539" s="2">
        <v>62</v>
      </c>
      <c r="F1539">
        <v>0</v>
      </c>
      <c r="G1539">
        <v>62</v>
      </c>
      <c r="H1539">
        <v>0.7</v>
      </c>
      <c r="I1539" t="s">
        <v>32</v>
      </c>
      <c r="J1539" s="33" t="s">
        <v>142</v>
      </c>
    </row>
    <row r="1540" spans="1:10" x14ac:dyDescent="0.25">
      <c r="A1540" t="s">
        <v>29</v>
      </c>
      <c r="B1540">
        <v>3</v>
      </c>
      <c r="C1540" t="s">
        <v>34</v>
      </c>
      <c r="D1540" t="s">
        <v>39</v>
      </c>
      <c r="E1540" s="2">
        <v>62</v>
      </c>
      <c r="F1540">
        <v>0</v>
      </c>
      <c r="G1540">
        <v>62</v>
      </c>
      <c r="H1540">
        <v>6.5</v>
      </c>
      <c r="I1540" t="s">
        <v>33</v>
      </c>
      <c r="J1540" s="33" t="s">
        <v>142</v>
      </c>
    </row>
    <row r="1541" spans="1:10" x14ac:dyDescent="0.25">
      <c r="A1541" t="s">
        <v>29</v>
      </c>
      <c r="B1541">
        <v>4</v>
      </c>
      <c r="C1541" t="s">
        <v>34</v>
      </c>
      <c r="D1541" t="s">
        <v>41</v>
      </c>
      <c r="E1541" s="2">
        <v>62</v>
      </c>
      <c r="F1541">
        <v>0</v>
      </c>
      <c r="G1541">
        <v>62</v>
      </c>
      <c r="H1541">
        <v>1.6</v>
      </c>
      <c r="I1541" t="s">
        <v>33</v>
      </c>
      <c r="J1541" s="33" t="s">
        <v>142</v>
      </c>
    </row>
    <row r="1542" spans="1:10" x14ac:dyDescent="0.25">
      <c r="A1542" t="s">
        <v>42</v>
      </c>
      <c r="B1542">
        <v>3</v>
      </c>
      <c r="C1542" t="s">
        <v>34</v>
      </c>
      <c r="D1542" t="s">
        <v>50</v>
      </c>
      <c r="E1542" s="2">
        <v>62</v>
      </c>
      <c r="F1542">
        <v>0</v>
      </c>
      <c r="G1542">
        <v>62</v>
      </c>
      <c r="H1542">
        <v>13.4</v>
      </c>
      <c r="I1542" t="s">
        <v>33</v>
      </c>
      <c r="J1542" s="33" t="s">
        <v>142</v>
      </c>
    </row>
    <row r="1543" spans="1:10" x14ac:dyDescent="0.25">
      <c r="A1543" t="s">
        <v>52</v>
      </c>
      <c r="B1543">
        <v>4</v>
      </c>
      <c r="C1543" t="s">
        <v>34</v>
      </c>
      <c r="D1543" t="s">
        <v>53</v>
      </c>
      <c r="E1543" s="2">
        <v>62</v>
      </c>
      <c r="F1543">
        <v>0</v>
      </c>
      <c r="G1543">
        <v>62</v>
      </c>
      <c r="H1543">
        <v>16.2</v>
      </c>
      <c r="I1543" t="s">
        <v>33</v>
      </c>
      <c r="J1543" s="33" t="s">
        <v>142</v>
      </c>
    </row>
    <row r="1544" spans="1:10" x14ac:dyDescent="0.25">
      <c r="A1544" t="s">
        <v>63</v>
      </c>
      <c r="B1544">
        <v>5</v>
      </c>
      <c r="C1544" t="s">
        <v>34</v>
      </c>
      <c r="D1544" t="s">
        <v>65</v>
      </c>
      <c r="E1544" s="2">
        <v>62</v>
      </c>
      <c r="F1544">
        <v>0</v>
      </c>
      <c r="G1544">
        <v>62</v>
      </c>
      <c r="H1544">
        <v>6.6</v>
      </c>
      <c r="I1544" t="s">
        <v>33</v>
      </c>
      <c r="J1544" s="33" t="s">
        <v>142</v>
      </c>
    </row>
    <row r="1545" spans="1:10" x14ac:dyDescent="0.25">
      <c r="A1545" t="s">
        <v>63</v>
      </c>
      <c r="B1545">
        <v>1</v>
      </c>
      <c r="C1545" t="s">
        <v>34</v>
      </c>
      <c r="D1545" t="s">
        <v>67</v>
      </c>
      <c r="E1545" s="2">
        <v>62</v>
      </c>
      <c r="F1545">
        <v>0</v>
      </c>
      <c r="G1545">
        <v>62</v>
      </c>
      <c r="H1545">
        <v>6.5</v>
      </c>
      <c r="I1545" t="s">
        <v>33</v>
      </c>
      <c r="J1545" s="33" t="s">
        <v>142</v>
      </c>
    </row>
    <row r="1546" spans="1:10" x14ac:dyDescent="0.25">
      <c r="A1546" t="s">
        <v>68</v>
      </c>
      <c r="B1546">
        <v>6</v>
      </c>
      <c r="C1546" t="s">
        <v>34</v>
      </c>
      <c r="D1546" t="s">
        <v>70</v>
      </c>
      <c r="E1546" s="2">
        <v>62</v>
      </c>
      <c r="F1546">
        <v>0</v>
      </c>
      <c r="G1546">
        <v>62</v>
      </c>
      <c r="H1546">
        <v>1.3</v>
      </c>
      <c r="I1546" t="s">
        <v>33</v>
      </c>
      <c r="J1546" s="33" t="s">
        <v>142</v>
      </c>
    </row>
    <row r="1547" spans="1:10" x14ac:dyDescent="0.25">
      <c r="A1547" t="s">
        <v>68</v>
      </c>
      <c r="B1547">
        <v>6</v>
      </c>
      <c r="C1547" t="s">
        <v>34</v>
      </c>
      <c r="D1547" t="s">
        <v>70</v>
      </c>
      <c r="E1547" s="2">
        <v>62</v>
      </c>
      <c r="F1547">
        <v>0</v>
      </c>
      <c r="G1547">
        <v>62</v>
      </c>
      <c r="H1547">
        <v>2.4</v>
      </c>
      <c r="I1547" t="s">
        <v>33</v>
      </c>
      <c r="J1547" s="33" t="s">
        <v>142</v>
      </c>
    </row>
    <row r="1548" spans="1:10" x14ac:dyDescent="0.25">
      <c r="A1548" t="s">
        <v>29</v>
      </c>
      <c r="B1548">
        <v>1</v>
      </c>
      <c r="C1548" t="s">
        <v>34</v>
      </c>
      <c r="D1548" t="s">
        <v>35</v>
      </c>
      <c r="E1548" s="2">
        <v>63</v>
      </c>
      <c r="F1548">
        <v>0</v>
      </c>
      <c r="G1548">
        <v>63</v>
      </c>
      <c r="H1548">
        <v>3.6</v>
      </c>
      <c r="I1548" t="s">
        <v>33</v>
      </c>
      <c r="J1548" s="33" t="s">
        <v>142</v>
      </c>
    </row>
    <row r="1549" spans="1:10" x14ac:dyDescent="0.25">
      <c r="A1549" t="s">
        <v>29</v>
      </c>
      <c r="B1549">
        <v>2</v>
      </c>
      <c r="C1549" t="s">
        <v>34</v>
      </c>
      <c r="D1549" t="s">
        <v>37</v>
      </c>
      <c r="E1549" s="2">
        <v>63</v>
      </c>
      <c r="F1549">
        <v>60</v>
      </c>
      <c r="G1549">
        <v>3</v>
      </c>
      <c r="H1549">
        <v>0</v>
      </c>
      <c r="I1549" t="s">
        <v>32</v>
      </c>
      <c r="J1549" s="33" t="s">
        <v>142</v>
      </c>
    </row>
    <row r="1550" spans="1:10" x14ac:dyDescent="0.25">
      <c r="A1550" t="s">
        <v>42</v>
      </c>
      <c r="B1550">
        <v>3</v>
      </c>
      <c r="C1550" t="s">
        <v>34</v>
      </c>
      <c r="D1550" t="s">
        <v>50</v>
      </c>
      <c r="E1550" s="2">
        <v>63</v>
      </c>
      <c r="F1550">
        <v>55</v>
      </c>
      <c r="G1550">
        <v>8</v>
      </c>
      <c r="H1550">
        <v>0</v>
      </c>
      <c r="I1550" t="s">
        <v>32</v>
      </c>
      <c r="J1550" s="33" t="s">
        <v>142</v>
      </c>
    </row>
    <row r="1551" spans="1:10" x14ac:dyDescent="0.25">
      <c r="A1551" t="s">
        <v>42</v>
      </c>
      <c r="B1551">
        <v>3</v>
      </c>
      <c r="C1551" t="s">
        <v>34</v>
      </c>
      <c r="D1551" t="s">
        <v>50</v>
      </c>
      <c r="E1551" s="2">
        <v>63</v>
      </c>
      <c r="F1551">
        <v>0</v>
      </c>
      <c r="G1551">
        <v>63</v>
      </c>
      <c r="H1551">
        <v>9.1</v>
      </c>
      <c r="I1551" t="s">
        <v>33</v>
      </c>
      <c r="J1551" s="33" t="s">
        <v>142</v>
      </c>
    </row>
    <row r="1552" spans="1:10" x14ac:dyDescent="0.25">
      <c r="A1552" t="s">
        <v>52</v>
      </c>
      <c r="B1552">
        <v>4</v>
      </c>
      <c r="C1552" t="s">
        <v>34</v>
      </c>
      <c r="D1552" t="s">
        <v>53</v>
      </c>
      <c r="E1552" s="2">
        <v>63</v>
      </c>
      <c r="F1552">
        <v>0</v>
      </c>
      <c r="G1552">
        <v>63</v>
      </c>
      <c r="H1552">
        <v>19</v>
      </c>
      <c r="I1552" t="s">
        <v>33</v>
      </c>
      <c r="J1552" s="33" t="s">
        <v>142</v>
      </c>
    </row>
    <row r="1553" spans="1:10" x14ac:dyDescent="0.25">
      <c r="A1553" t="s">
        <v>63</v>
      </c>
      <c r="B1553">
        <v>1</v>
      </c>
      <c r="C1553" t="s">
        <v>34</v>
      </c>
      <c r="D1553" t="s">
        <v>67</v>
      </c>
      <c r="E1553" s="2">
        <v>63</v>
      </c>
      <c r="F1553">
        <v>0</v>
      </c>
      <c r="G1553">
        <v>63</v>
      </c>
      <c r="H1553">
        <v>1.1000000000000001</v>
      </c>
      <c r="I1553" t="s">
        <v>33</v>
      </c>
      <c r="J1553" s="33" t="s">
        <v>142</v>
      </c>
    </row>
    <row r="1554" spans="1:10" x14ac:dyDescent="0.25">
      <c r="A1554" t="s">
        <v>63</v>
      </c>
      <c r="B1554">
        <v>1</v>
      </c>
      <c r="C1554" t="s">
        <v>34</v>
      </c>
      <c r="D1554" t="s">
        <v>67</v>
      </c>
      <c r="E1554" s="2">
        <v>63</v>
      </c>
      <c r="F1554">
        <v>0</v>
      </c>
      <c r="G1554">
        <v>63</v>
      </c>
      <c r="H1554">
        <v>13.5</v>
      </c>
      <c r="I1554" t="s">
        <v>33</v>
      </c>
      <c r="J1554" s="33" t="s">
        <v>142</v>
      </c>
    </row>
    <row r="1555" spans="1:10" x14ac:dyDescent="0.25">
      <c r="A1555" t="s">
        <v>71</v>
      </c>
      <c r="B1555">
        <v>11</v>
      </c>
      <c r="C1555" t="s">
        <v>30</v>
      </c>
      <c r="D1555" t="s">
        <v>76</v>
      </c>
      <c r="E1555" s="2">
        <v>63</v>
      </c>
      <c r="F1555">
        <v>0</v>
      </c>
      <c r="G1555">
        <v>63</v>
      </c>
      <c r="H1555">
        <v>1.2</v>
      </c>
      <c r="I1555" t="s">
        <v>33</v>
      </c>
      <c r="J1555" s="33" t="s">
        <v>142</v>
      </c>
    </row>
    <row r="1556" spans="1:10" x14ac:dyDescent="0.25">
      <c r="A1556" t="s">
        <v>29</v>
      </c>
      <c r="B1556">
        <v>1</v>
      </c>
      <c r="C1556" t="s">
        <v>30</v>
      </c>
      <c r="D1556" t="s">
        <v>31</v>
      </c>
      <c r="E1556" s="2">
        <v>64</v>
      </c>
      <c r="F1556">
        <v>0</v>
      </c>
      <c r="G1556">
        <v>64</v>
      </c>
      <c r="H1556">
        <v>3.7</v>
      </c>
      <c r="I1556" t="s">
        <v>33</v>
      </c>
      <c r="J1556" s="33" t="s">
        <v>142</v>
      </c>
    </row>
    <row r="1557" spans="1:10" x14ac:dyDescent="0.25">
      <c r="A1557" t="s">
        <v>29</v>
      </c>
      <c r="B1557">
        <v>4</v>
      </c>
      <c r="C1557" t="s">
        <v>34</v>
      </c>
      <c r="D1557" t="s">
        <v>41</v>
      </c>
      <c r="E1557" s="2">
        <v>64</v>
      </c>
      <c r="F1557">
        <v>0</v>
      </c>
      <c r="G1557">
        <v>64</v>
      </c>
      <c r="H1557">
        <v>8.5</v>
      </c>
      <c r="I1557" t="s">
        <v>33</v>
      </c>
      <c r="J1557" s="33" t="s">
        <v>142</v>
      </c>
    </row>
    <row r="1558" spans="1:10" x14ac:dyDescent="0.25">
      <c r="A1558" t="s">
        <v>42</v>
      </c>
      <c r="B1558">
        <v>1</v>
      </c>
      <c r="C1558" t="s">
        <v>34</v>
      </c>
      <c r="D1558" t="s">
        <v>44</v>
      </c>
      <c r="E1558" s="2">
        <v>64</v>
      </c>
      <c r="F1558">
        <v>0</v>
      </c>
      <c r="G1558">
        <v>64</v>
      </c>
      <c r="H1558">
        <v>4</v>
      </c>
      <c r="I1558" t="s">
        <v>33</v>
      </c>
      <c r="J1558" s="33" t="s">
        <v>142</v>
      </c>
    </row>
    <row r="1559" spans="1:10" x14ac:dyDescent="0.25">
      <c r="A1559" t="s">
        <v>42</v>
      </c>
      <c r="B1559">
        <v>5</v>
      </c>
      <c r="C1559" t="s">
        <v>34</v>
      </c>
      <c r="D1559" t="s">
        <v>48</v>
      </c>
      <c r="E1559" s="2">
        <v>64</v>
      </c>
      <c r="F1559">
        <v>0</v>
      </c>
      <c r="G1559">
        <v>64</v>
      </c>
      <c r="H1559">
        <v>0.4</v>
      </c>
      <c r="I1559" t="s">
        <v>32</v>
      </c>
      <c r="J1559" s="33" t="s">
        <v>142</v>
      </c>
    </row>
    <row r="1560" spans="1:10" x14ac:dyDescent="0.25">
      <c r="A1560" t="s">
        <v>42</v>
      </c>
      <c r="B1560">
        <v>5</v>
      </c>
      <c r="C1560" t="s">
        <v>34</v>
      </c>
      <c r="D1560" t="s">
        <v>48</v>
      </c>
      <c r="E1560" s="2">
        <v>64</v>
      </c>
      <c r="F1560">
        <v>0</v>
      </c>
      <c r="G1560">
        <v>64</v>
      </c>
      <c r="H1560">
        <v>3.3</v>
      </c>
      <c r="I1560" t="s">
        <v>33</v>
      </c>
      <c r="J1560" s="33" t="s">
        <v>142</v>
      </c>
    </row>
    <row r="1561" spans="1:10" x14ac:dyDescent="0.25">
      <c r="A1561" t="s">
        <v>42</v>
      </c>
      <c r="B1561">
        <v>4</v>
      </c>
      <c r="C1561" t="s">
        <v>30</v>
      </c>
      <c r="D1561" t="s">
        <v>51</v>
      </c>
      <c r="E1561" s="2">
        <v>64</v>
      </c>
      <c r="F1561">
        <v>0</v>
      </c>
      <c r="G1561">
        <v>64</v>
      </c>
      <c r="H1561">
        <v>11.6</v>
      </c>
      <c r="I1561" t="s">
        <v>33</v>
      </c>
      <c r="J1561" s="33" t="s">
        <v>142</v>
      </c>
    </row>
    <row r="1562" spans="1:10" x14ac:dyDescent="0.25">
      <c r="A1562" t="s">
        <v>42</v>
      </c>
      <c r="B1562">
        <v>4</v>
      </c>
      <c r="C1562" t="s">
        <v>30</v>
      </c>
      <c r="D1562" t="s">
        <v>51</v>
      </c>
      <c r="E1562" s="2">
        <v>64</v>
      </c>
      <c r="F1562">
        <v>61</v>
      </c>
      <c r="G1562">
        <v>3</v>
      </c>
      <c r="H1562">
        <v>0</v>
      </c>
      <c r="I1562" t="s">
        <v>32</v>
      </c>
      <c r="J1562" s="33" t="s">
        <v>142</v>
      </c>
    </row>
    <row r="1563" spans="1:10" x14ac:dyDescent="0.25">
      <c r="A1563" t="s">
        <v>63</v>
      </c>
      <c r="B1563">
        <v>5</v>
      </c>
      <c r="C1563" t="s">
        <v>34</v>
      </c>
      <c r="D1563" t="s">
        <v>65</v>
      </c>
      <c r="E1563" s="2">
        <v>64</v>
      </c>
      <c r="F1563">
        <v>0</v>
      </c>
      <c r="G1563">
        <v>64</v>
      </c>
      <c r="H1563">
        <v>1.3</v>
      </c>
      <c r="I1563" t="s">
        <v>33</v>
      </c>
      <c r="J1563" s="33" t="s">
        <v>142</v>
      </c>
    </row>
    <row r="1564" spans="1:10" x14ac:dyDescent="0.25">
      <c r="A1564" t="s">
        <v>63</v>
      </c>
      <c r="B1564">
        <v>5</v>
      </c>
      <c r="C1564" t="s">
        <v>34</v>
      </c>
      <c r="D1564" t="s">
        <v>65</v>
      </c>
      <c r="E1564" s="2">
        <v>64</v>
      </c>
      <c r="F1564">
        <v>0</v>
      </c>
      <c r="G1564">
        <v>64</v>
      </c>
      <c r="H1564">
        <v>1.4</v>
      </c>
      <c r="I1564" t="s">
        <v>33</v>
      </c>
      <c r="J1564" s="33" t="s">
        <v>142</v>
      </c>
    </row>
    <row r="1565" spans="1:10" x14ac:dyDescent="0.25">
      <c r="A1565" t="s">
        <v>68</v>
      </c>
      <c r="B1565">
        <v>6</v>
      </c>
      <c r="C1565" t="s">
        <v>30</v>
      </c>
      <c r="D1565" t="s">
        <v>69</v>
      </c>
      <c r="E1565" s="2">
        <v>64</v>
      </c>
      <c r="F1565">
        <v>0</v>
      </c>
      <c r="G1565">
        <v>64</v>
      </c>
      <c r="H1565">
        <v>6.1</v>
      </c>
      <c r="I1565" t="s">
        <v>33</v>
      </c>
      <c r="J1565" s="33" t="s">
        <v>142</v>
      </c>
    </row>
    <row r="1566" spans="1:10" x14ac:dyDescent="0.25">
      <c r="A1566" t="s">
        <v>71</v>
      </c>
      <c r="B1566">
        <v>11</v>
      </c>
      <c r="C1566" t="s">
        <v>30</v>
      </c>
      <c r="D1566" t="s">
        <v>76</v>
      </c>
      <c r="E1566" s="2">
        <v>64</v>
      </c>
      <c r="F1566">
        <v>0</v>
      </c>
      <c r="G1566">
        <v>64</v>
      </c>
      <c r="H1566">
        <v>2</v>
      </c>
      <c r="I1566" t="s">
        <v>33</v>
      </c>
      <c r="J1566" s="33" t="s">
        <v>142</v>
      </c>
    </row>
    <row r="1567" spans="1:10" x14ac:dyDescent="0.25">
      <c r="A1567" t="s">
        <v>29</v>
      </c>
      <c r="B1567">
        <v>3</v>
      </c>
      <c r="C1567" t="s">
        <v>34</v>
      </c>
      <c r="D1567" t="s">
        <v>39</v>
      </c>
      <c r="E1567" s="2">
        <v>65</v>
      </c>
      <c r="F1567">
        <v>0</v>
      </c>
      <c r="G1567">
        <v>65</v>
      </c>
      <c r="H1567">
        <v>11.2</v>
      </c>
      <c r="I1567" t="s">
        <v>33</v>
      </c>
      <c r="J1567" s="33" t="s">
        <v>142</v>
      </c>
    </row>
    <row r="1568" spans="1:10" x14ac:dyDescent="0.25">
      <c r="A1568" t="s">
        <v>42</v>
      </c>
      <c r="B1568">
        <v>2</v>
      </c>
      <c r="C1568" t="s">
        <v>34</v>
      </c>
      <c r="D1568" t="s">
        <v>46</v>
      </c>
      <c r="E1568" s="2">
        <v>65</v>
      </c>
      <c r="F1568">
        <v>0</v>
      </c>
      <c r="G1568">
        <v>65</v>
      </c>
      <c r="H1568">
        <v>59</v>
      </c>
      <c r="I1568" t="s">
        <v>33</v>
      </c>
      <c r="J1568" s="33" t="s">
        <v>142</v>
      </c>
    </row>
    <row r="1569" spans="1:10" x14ac:dyDescent="0.25">
      <c r="A1569" t="s">
        <v>54</v>
      </c>
      <c r="B1569">
        <v>4</v>
      </c>
      <c r="C1569" t="s">
        <v>34</v>
      </c>
      <c r="D1569" t="s">
        <v>62</v>
      </c>
      <c r="E1569" s="2">
        <v>65</v>
      </c>
      <c r="F1569">
        <v>0</v>
      </c>
      <c r="G1569">
        <v>65</v>
      </c>
      <c r="H1569">
        <v>4.3</v>
      </c>
      <c r="I1569" t="s">
        <v>33</v>
      </c>
      <c r="J1569" s="33" t="s">
        <v>142</v>
      </c>
    </row>
    <row r="1570" spans="1:10" x14ac:dyDescent="0.25">
      <c r="A1570" t="s">
        <v>63</v>
      </c>
      <c r="B1570">
        <v>5</v>
      </c>
      <c r="C1570" t="s">
        <v>34</v>
      </c>
      <c r="D1570" t="s">
        <v>65</v>
      </c>
      <c r="E1570" s="2">
        <v>65</v>
      </c>
      <c r="F1570">
        <v>0</v>
      </c>
      <c r="G1570">
        <v>65</v>
      </c>
      <c r="H1570">
        <v>1.2</v>
      </c>
      <c r="I1570" t="s">
        <v>33</v>
      </c>
      <c r="J1570" s="33" t="s">
        <v>142</v>
      </c>
    </row>
    <row r="1571" spans="1:10" x14ac:dyDescent="0.25">
      <c r="A1571" t="s">
        <v>63</v>
      </c>
      <c r="B1571">
        <v>5</v>
      </c>
      <c r="C1571" t="s">
        <v>34</v>
      </c>
      <c r="D1571" t="s">
        <v>65</v>
      </c>
      <c r="E1571" s="2">
        <v>65</v>
      </c>
      <c r="F1571">
        <v>0</v>
      </c>
      <c r="G1571">
        <v>65</v>
      </c>
      <c r="H1571">
        <v>5.6</v>
      </c>
      <c r="I1571" t="s">
        <v>33</v>
      </c>
      <c r="J1571" s="33" t="s">
        <v>142</v>
      </c>
    </row>
    <row r="1572" spans="1:10" x14ac:dyDescent="0.25">
      <c r="A1572" t="s">
        <v>63</v>
      </c>
      <c r="B1572">
        <v>5</v>
      </c>
      <c r="C1572" t="s">
        <v>34</v>
      </c>
      <c r="D1572" t="s">
        <v>65</v>
      </c>
      <c r="E1572" s="2">
        <v>65</v>
      </c>
      <c r="F1572">
        <v>0</v>
      </c>
      <c r="G1572">
        <v>65</v>
      </c>
      <c r="H1572">
        <v>1.8</v>
      </c>
      <c r="I1572" t="s">
        <v>33</v>
      </c>
      <c r="J1572" s="33" t="s">
        <v>142</v>
      </c>
    </row>
    <row r="1573" spans="1:10" x14ac:dyDescent="0.25">
      <c r="A1573" t="s">
        <v>29</v>
      </c>
      <c r="B1573">
        <v>1</v>
      </c>
      <c r="C1573" t="s">
        <v>30</v>
      </c>
      <c r="D1573" t="s">
        <v>31</v>
      </c>
      <c r="E1573" s="2">
        <v>66</v>
      </c>
      <c r="F1573">
        <v>0</v>
      </c>
      <c r="G1573">
        <v>66</v>
      </c>
      <c r="H1573">
        <v>15.1</v>
      </c>
      <c r="I1573" t="s">
        <v>33</v>
      </c>
      <c r="J1573" s="33" t="s">
        <v>142</v>
      </c>
    </row>
    <row r="1574" spans="1:10" x14ac:dyDescent="0.25">
      <c r="A1574" t="s">
        <v>29</v>
      </c>
      <c r="B1574">
        <v>2</v>
      </c>
      <c r="C1574" t="s">
        <v>34</v>
      </c>
      <c r="D1574" t="s">
        <v>37</v>
      </c>
      <c r="E1574" s="2">
        <v>66</v>
      </c>
      <c r="F1574">
        <v>0</v>
      </c>
      <c r="G1574">
        <v>66</v>
      </c>
      <c r="H1574">
        <v>10.1</v>
      </c>
      <c r="I1574" t="s">
        <v>33</v>
      </c>
      <c r="J1574" s="33" t="s">
        <v>142</v>
      </c>
    </row>
    <row r="1575" spans="1:10" x14ac:dyDescent="0.25">
      <c r="A1575" t="s">
        <v>29</v>
      </c>
      <c r="B1575">
        <v>3</v>
      </c>
      <c r="C1575" t="s">
        <v>30</v>
      </c>
      <c r="D1575" t="s">
        <v>38</v>
      </c>
      <c r="E1575" s="2">
        <v>66</v>
      </c>
      <c r="F1575">
        <v>0</v>
      </c>
      <c r="G1575">
        <v>66</v>
      </c>
      <c r="H1575">
        <v>15</v>
      </c>
      <c r="I1575" t="s">
        <v>33</v>
      </c>
      <c r="J1575" s="33" t="s">
        <v>142</v>
      </c>
    </row>
    <row r="1576" spans="1:10" x14ac:dyDescent="0.25">
      <c r="A1576" t="s">
        <v>29</v>
      </c>
      <c r="B1576">
        <v>3</v>
      </c>
      <c r="C1576" t="s">
        <v>34</v>
      </c>
      <c r="D1576" t="s">
        <v>39</v>
      </c>
      <c r="E1576" s="2">
        <v>66</v>
      </c>
      <c r="F1576">
        <v>0</v>
      </c>
      <c r="G1576">
        <v>66</v>
      </c>
      <c r="H1576">
        <v>14.3</v>
      </c>
      <c r="I1576" t="s">
        <v>33</v>
      </c>
      <c r="J1576" s="33" t="s">
        <v>142</v>
      </c>
    </row>
    <row r="1577" spans="1:10" x14ac:dyDescent="0.25">
      <c r="A1577" t="s">
        <v>29</v>
      </c>
      <c r="B1577">
        <v>4</v>
      </c>
      <c r="C1577" t="s">
        <v>34</v>
      </c>
      <c r="D1577" t="s">
        <v>41</v>
      </c>
      <c r="E1577" s="2">
        <v>66</v>
      </c>
      <c r="F1577">
        <v>0</v>
      </c>
      <c r="G1577">
        <v>66</v>
      </c>
      <c r="H1577">
        <v>1.4</v>
      </c>
      <c r="I1577" t="s">
        <v>33</v>
      </c>
      <c r="J1577" s="33" t="s">
        <v>142</v>
      </c>
    </row>
    <row r="1578" spans="1:10" x14ac:dyDescent="0.25">
      <c r="A1578" t="s">
        <v>42</v>
      </c>
      <c r="B1578">
        <v>2</v>
      </c>
      <c r="C1578" t="s">
        <v>34</v>
      </c>
      <c r="D1578" t="s">
        <v>46</v>
      </c>
      <c r="E1578" s="2">
        <v>66</v>
      </c>
      <c r="F1578">
        <v>0</v>
      </c>
      <c r="G1578">
        <v>66</v>
      </c>
      <c r="H1578">
        <v>2.4</v>
      </c>
      <c r="I1578" t="s">
        <v>33</v>
      </c>
      <c r="J1578" s="33" t="s">
        <v>142</v>
      </c>
    </row>
    <row r="1579" spans="1:10" x14ac:dyDescent="0.25">
      <c r="A1579" t="s">
        <v>54</v>
      </c>
      <c r="B1579">
        <v>1</v>
      </c>
      <c r="C1579" t="s">
        <v>30</v>
      </c>
      <c r="D1579" t="s">
        <v>55</v>
      </c>
      <c r="E1579" s="2">
        <v>66</v>
      </c>
      <c r="F1579">
        <v>0</v>
      </c>
      <c r="G1579">
        <v>66</v>
      </c>
      <c r="H1579">
        <v>7.1</v>
      </c>
      <c r="I1579" t="s">
        <v>33</v>
      </c>
      <c r="J1579" s="33" t="s">
        <v>142</v>
      </c>
    </row>
    <row r="1580" spans="1:10" x14ac:dyDescent="0.25">
      <c r="A1580" t="s">
        <v>54</v>
      </c>
      <c r="B1580">
        <v>4</v>
      </c>
      <c r="C1580" t="s">
        <v>34</v>
      </c>
      <c r="D1580" t="s">
        <v>62</v>
      </c>
      <c r="E1580" s="2">
        <v>66</v>
      </c>
      <c r="F1580">
        <v>0</v>
      </c>
      <c r="G1580">
        <v>66</v>
      </c>
      <c r="H1580">
        <v>0.7</v>
      </c>
      <c r="I1580" t="s">
        <v>32</v>
      </c>
      <c r="J1580" s="33" t="s">
        <v>142</v>
      </c>
    </row>
    <row r="1581" spans="1:10" x14ac:dyDescent="0.25">
      <c r="A1581" t="s">
        <v>42</v>
      </c>
      <c r="B1581">
        <v>1</v>
      </c>
      <c r="C1581" t="s">
        <v>34</v>
      </c>
      <c r="D1581" t="s">
        <v>44</v>
      </c>
      <c r="E1581" s="2">
        <v>67</v>
      </c>
      <c r="F1581">
        <v>0</v>
      </c>
      <c r="G1581">
        <v>67</v>
      </c>
      <c r="H1581">
        <v>7.1</v>
      </c>
      <c r="I1581" t="s">
        <v>33</v>
      </c>
      <c r="J1581" s="33" t="s">
        <v>142</v>
      </c>
    </row>
    <row r="1582" spans="1:10" x14ac:dyDescent="0.25">
      <c r="A1582" t="s">
        <v>42</v>
      </c>
      <c r="B1582">
        <v>1</v>
      </c>
      <c r="C1582" t="s">
        <v>34</v>
      </c>
      <c r="D1582" t="s">
        <v>44</v>
      </c>
      <c r="E1582" s="2">
        <v>67</v>
      </c>
      <c r="F1582">
        <v>58</v>
      </c>
      <c r="G1582">
        <v>9</v>
      </c>
      <c r="H1582">
        <v>0</v>
      </c>
      <c r="I1582" t="s">
        <v>32</v>
      </c>
      <c r="J1582" s="33" t="s">
        <v>142</v>
      </c>
    </row>
    <row r="1583" spans="1:10" x14ac:dyDescent="0.25">
      <c r="A1583" t="s">
        <v>42</v>
      </c>
      <c r="B1583">
        <v>2</v>
      </c>
      <c r="C1583" t="s">
        <v>34</v>
      </c>
      <c r="D1583" t="s">
        <v>46</v>
      </c>
      <c r="E1583" s="2">
        <v>67</v>
      </c>
      <c r="F1583">
        <v>0</v>
      </c>
      <c r="G1583">
        <v>67</v>
      </c>
      <c r="H1583">
        <v>2.6</v>
      </c>
      <c r="I1583" t="s">
        <v>33</v>
      </c>
      <c r="J1583" s="33" t="s">
        <v>142</v>
      </c>
    </row>
    <row r="1584" spans="1:10" x14ac:dyDescent="0.25">
      <c r="A1584" t="s">
        <v>63</v>
      </c>
      <c r="B1584">
        <v>5</v>
      </c>
      <c r="C1584" t="s">
        <v>34</v>
      </c>
      <c r="D1584" t="s">
        <v>65</v>
      </c>
      <c r="E1584" s="2">
        <v>67</v>
      </c>
      <c r="F1584">
        <v>0</v>
      </c>
      <c r="G1584">
        <v>67</v>
      </c>
      <c r="H1584">
        <v>2.9</v>
      </c>
      <c r="I1584" t="s">
        <v>33</v>
      </c>
      <c r="J1584" s="33" t="s">
        <v>142</v>
      </c>
    </row>
    <row r="1585" spans="1:10" x14ac:dyDescent="0.25">
      <c r="A1585" t="s">
        <v>63</v>
      </c>
      <c r="B1585">
        <v>5</v>
      </c>
      <c r="C1585" t="s">
        <v>34</v>
      </c>
      <c r="D1585" t="s">
        <v>65</v>
      </c>
      <c r="E1585" s="2">
        <v>67</v>
      </c>
      <c r="F1585">
        <v>0</v>
      </c>
      <c r="G1585">
        <v>67</v>
      </c>
      <c r="H1585">
        <v>1.4</v>
      </c>
      <c r="I1585" t="s">
        <v>33</v>
      </c>
      <c r="J1585" s="33" t="s">
        <v>142</v>
      </c>
    </row>
    <row r="1586" spans="1:10" x14ac:dyDescent="0.25">
      <c r="A1586" t="s">
        <v>63</v>
      </c>
      <c r="B1586">
        <v>1</v>
      </c>
      <c r="C1586" t="s">
        <v>34</v>
      </c>
      <c r="D1586" t="s">
        <v>67</v>
      </c>
      <c r="E1586" s="2">
        <v>67</v>
      </c>
      <c r="F1586">
        <v>0</v>
      </c>
      <c r="G1586">
        <v>67</v>
      </c>
      <c r="H1586">
        <v>16.8</v>
      </c>
      <c r="I1586" t="s">
        <v>33</v>
      </c>
      <c r="J1586" s="33" t="s">
        <v>142</v>
      </c>
    </row>
    <row r="1587" spans="1:10" x14ac:dyDescent="0.25">
      <c r="A1587" t="s">
        <v>29</v>
      </c>
      <c r="B1587">
        <v>1</v>
      </c>
      <c r="C1587" t="s">
        <v>34</v>
      </c>
      <c r="D1587" t="s">
        <v>35</v>
      </c>
      <c r="E1587" s="2">
        <v>68</v>
      </c>
      <c r="F1587">
        <v>0</v>
      </c>
      <c r="G1587">
        <v>68</v>
      </c>
      <c r="H1587">
        <v>0.9</v>
      </c>
      <c r="I1587" t="s">
        <v>32</v>
      </c>
      <c r="J1587" s="33" t="s">
        <v>142</v>
      </c>
    </row>
    <row r="1588" spans="1:10" x14ac:dyDescent="0.25">
      <c r="A1588" t="s">
        <v>29</v>
      </c>
      <c r="B1588">
        <v>3</v>
      </c>
      <c r="C1588" t="s">
        <v>30</v>
      </c>
      <c r="D1588" t="s">
        <v>38</v>
      </c>
      <c r="E1588" s="2">
        <v>68</v>
      </c>
      <c r="F1588">
        <v>6</v>
      </c>
      <c r="G1588">
        <v>62</v>
      </c>
      <c r="H1588">
        <v>19.3</v>
      </c>
      <c r="I1588" t="s">
        <v>33</v>
      </c>
      <c r="J1588" s="33" t="s">
        <v>142</v>
      </c>
    </row>
    <row r="1589" spans="1:10" x14ac:dyDescent="0.25">
      <c r="A1589" t="s">
        <v>29</v>
      </c>
      <c r="B1589">
        <v>4</v>
      </c>
      <c r="C1589" t="s">
        <v>34</v>
      </c>
      <c r="D1589" t="s">
        <v>41</v>
      </c>
      <c r="E1589" s="2">
        <v>68</v>
      </c>
      <c r="F1589">
        <v>0</v>
      </c>
      <c r="G1589">
        <v>68</v>
      </c>
      <c r="H1589">
        <v>12.7</v>
      </c>
      <c r="I1589" t="s">
        <v>33</v>
      </c>
      <c r="J1589" s="33" t="s">
        <v>142</v>
      </c>
    </row>
    <row r="1590" spans="1:10" x14ac:dyDescent="0.25">
      <c r="A1590" t="s">
        <v>42</v>
      </c>
      <c r="B1590">
        <v>1</v>
      </c>
      <c r="C1590" t="s">
        <v>30</v>
      </c>
      <c r="D1590" t="s">
        <v>43</v>
      </c>
      <c r="E1590" s="2">
        <v>68</v>
      </c>
      <c r="F1590">
        <v>0</v>
      </c>
      <c r="G1590">
        <v>68</v>
      </c>
      <c r="H1590">
        <v>11.2</v>
      </c>
      <c r="I1590" t="s">
        <v>33</v>
      </c>
      <c r="J1590" s="33" t="s">
        <v>142</v>
      </c>
    </row>
    <row r="1591" spans="1:10" x14ac:dyDescent="0.25">
      <c r="A1591" t="s">
        <v>42</v>
      </c>
      <c r="B1591">
        <v>2</v>
      </c>
      <c r="C1591" t="s">
        <v>34</v>
      </c>
      <c r="D1591" t="s">
        <v>46</v>
      </c>
      <c r="E1591" s="2">
        <v>68</v>
      </c>
      <c r="F1591">
        <v>0</v>
      </c>
      <c r="G1591">
        <v>68</v>
      </c>
      <c r="H1591">
        <v>17.5</v>
      </c>
      <c r="I1591" t="s">
        <v>33</v>
      </c>
      <c r="J1591" s="33" t="s">
        <v>142</v>
      </c>
    </row>
    <row r="1592" spans="1:10" x14ac:dyDescent="0.25">
      <c r="A1592" t="s">
        <v>42</v>
      </c>
      <c r="B1592">
        <v>5</v>
      </c>
      <c r="C1592" t="s">
        <v>34</v>
      </c>
      <c r="D1592" t="s">
        <v>48</v>
      </c>
      <c r="E1592" s="2">
        <v>68</v>
      </c>
      <c r="F1592">
        <v>0</v>
      </c>
      <c r="G1592">
        <v>68</v>
      </c>
      <c r="H1592">
        <v>5</v>
      </c>
      <c r="I1592" t="s">
        <v>33</v>
      </c>
      <c r="J1592" s="33" t="s">
        <v>142</v>
      </c>
    </row>
    <row r="1593" spans="1:10" x14ac:dyDescent="0.25">
      <c r="A1593" t="s">
        <v>42</v>
      </c>
      <c r="B1593">
        <v>3</v>
      </c>
      <c r="C1593" t="s">
        <v>30</v>
      </c>
      <c r="D1593" t="s">
        <v>49</v>
      </c>
      <c r="E1593" s="2">
        <v>68</v>
      </c>
      <c r="F1593">
        <v>0</v>
      </c>
      <c r="G1593">
        <v>68</v>
      </c>
      <c r="H1593">
        <v>0.2</v>
      </c>
      <c r="I1593" t="s">
        <v>32</v>
      </c>
      <c r="J1593" s="33" t="s">
        <v>142</v>
      </c>
    </row>
    <row r="1594" spans="1:10" x14ac:dyDescent="0.25">
      <c r="A1594" t="s">
        <v>52</v>
      </c>
      <c r="B1594">
        <v>4</v>
      </c>
      <c r="C1594" t="s">
        <v>34</v>
      </c>
      <c r="D1594" t="s">
        <v>53</v>
      </c>
      <c r="E1594" s="2">
        <v>68</v>
      </c>
      <c r="F1594">
        <v>0</v>
      </c>
      <c r="G1594">
        <v>68</v>
      </c>
      <c r="H1594">
        <v>15.8</v>
      </c>
      <c r="I1594" t="s">
        <v>33</v>
      </c>
      <c r="J1594" s="33" t="s">
        <v>142</v>
      </c>
    </row>
    <row r="1595" spans="1:10" x14ac:dyDescent="0.25">
      <c r="A1595" t="s">
        <v>54</v>
      </c>
      <c r="B1595">
        <v>4</v>
      </c>
      <c r="C1595" t="s">
        <v>34</v>
      </c>
      <c r="D1595" t="s">
        <v>62</v>
      </c>
      <c r="E1595" s="2">
        <v>68</v>
      </c>
      <c r="F1595">
        <v>0</v>
      </c>
      <c r="G1595">
        <v>68</v>
      </c>
      <c r="H1595">
        <v>0.6</v>
      </c>
      <c r="I1595" t="s">
        <v>32</v>
      </c>
      <c r="J1595" s="33" t="s">
        <v>142</v>
      </c>
    </row>
    <row r="1596" spans="1:10" x14ac:dyDescent="0.25">
      <c r="A1596" t="s">
        <v>68</v>
      </c>
      <c r="B1596">
        <v>6</v>
      </c>
      <c r="C1596" t="s">
        <v>30</v>
      </c>
      <c r="D1596" t="s">
        <v>69</v>
      </c>
      <c r="E1596" s="2">
        <v>68</v>
      </c>
      <c r="F1596">
        <v>0</v>
      </c>
      <c r="G1596">
        <v>68</v>
      </c>
      <c r="H1596">
        <v>4.5</v>
      </c>
      <c r="I1596" t="s">
        <v>33</v>
      </c>
      <c r="J1596" s="33" t="s">
        <v>142</v>
      </c>
    </row>
    <row r="1597" spans="1:10" x14ac:dyDescent="0.25">
      <c r="A1597" t="s">
        <v>71</v>
      </c>
      <c r="B1597">
        <v>11</v>
      </c>
      <c r="C1597" t="s">
        <v>34</v>
      </c>
      <c r="D1597" t="s">
        <v>77</v>
      </c>
      <c r="E1597" s="2">
        <v>68</v>
      </c>
      <c r="F1597">
        <v>0</v>
      </c>
      <c r="G1597">
        <v>68</v>
      </c>
      <c r="H1597">
        <v>7</v>
      </c>
      <c r="I1597" t="s">
        <v>33</v>
      </c>
      <c r="J1597" s="33" t="s">
        <v>142</v>
      </c>
    </row>
    <row r="1598" spans="1:10" x14ac:dyDescent="0.25">
      <c r="A1598" t="s">
        <v>29</v>
      </c>
      <c r="B1598">
        <v>1</v>
      </c>
      <c r="C1598" t="s">
        <v>34</v>
      </c>
      <c r="D1598" t="s">
        <v>35</v>
      </c>
      <c r="E1598" s="2">
        <v>69</v>
      </c>
      <c r="F1598">
        <v>0</v>
      </c>
      <c r="G1598">
        <v>69</v>
      </c>
      <c r="H1598">
        <v>8.6999999999999993</v>
      </c>
      <c r="I1598" t="s">
        <v>33</v>
      </c>
      <c r="J1598" s="33" t="s">
        <v>142</v>
      </c>
    </row>
    <row r="1599" spans="1:10" x14ac:dyDescent="0.25">
      <c r="A1599" t="s">
        <v>29</v>
      </c>
      <c r="B1599">
        <v>2</v>
      </c>
      <c r="C1599" t="s">
        <v>30</v>
      </c>
      <c r="D1599" t="s">
        <v>36</v>
      </c>
      <c r="E1599" s="2">
        <v>69</v>
      </c>
      <c r="F1599">
        <v>0</v>
      </c>
      <c r="G1599">
        <v>69</v>
      </c>
      <c r="H1599">
        <v>1.1000000000000001</v>
      </c>
      <c r="I1599" t="s">
        <v>33</v>
      </c>
      <c r="J1599" s="33" t="s">
        <v>142</v>
      </c>
    </row>
    <row r="1600" spans="1:10" x14ac:dyDescent="0.25">
      <c r="A1600" t="s">
        <v>29</v>
      </c>
      <c r="B1600">
        <v>2</v>
      </c>
      <c r="C1600" t="s">
        <v>34</v>
      </c>
      <c r="D1600" t="s">
        <v>37</v>
      </c>
      <c r="E1600" s="2">
        <v>69</v>
      </c>
      <c r="F1600">
        <v>0</v>
      </c>
      <c r="G1600">
        <v>69</v>
      </c>
      <c r="H1600">
        <v>12.3</v>
      </c>
      <c r="I1600" t="s">
        <v>33</v>
      </c>
      <c r="J1600" s="33" t="s">
        <v>142</v>
      </c>
    </row>
    <row r="1601" spans="1:10" x14ac:dyDescent="0.25">
      <c r="A1601" t="s">
        <v>29</v>
      </c>
      <c r="B1601">
        <v>3</v>
      </c>
      <c r="C1601" t="s">
        <v>34</v>
      </c>
      <c r="D1601" t="s">
        <v>39</v>
      </c>
      <c r="E1601" s="2">
        <v>69</v>
      </c>
      <c r="F1601">
        <v>0</v>
      </c>
      <c r="G1601">
        <v>69</v>
      </c>
      <c r="H1601">
        <v>9.1</v>
      </c>
      <c r="I1601" t="s">
        <v>33</v>
      </c>
      <c r="J1601" s="33" t="s">
        <v>142</v>
      </c>
    </row>
    <row r="1602" spans="1:10" x14ac:dyDescent="0.25">
      <c r="A1602" t="s">
        <v>42</v>
      </c>
      <c r="B1602">
        <v>3</v>
      </c>
      <c r="C1602" t="s">
        <v>34</v>
      </c>
      <c r="D1602" t="s">
        <v>50</v>
      </c>
      <c r="E1602" s="2">
        <v>69</v>
      </c>
      <c r="F1602">
        <v>0</v>
      </c>
      <c r="G1602">
        <v>69</v>
      </c>
      <c r="H1602">
        <v>14.4</v>
      </c>
      <c r="I1602" t="s">
        <v>33</v>
      </c>
      <c r="J1602" s="33" t="s">
        <v>142</v>
      </c>
    </row>
    <row r="1603" spans="1:10" x14ac:dyDescent="0.25">
      <c r="A1603" t="s">
        <v>42</v>
      </c>
      <c r="B1603">
        <v>4</v>
      </c>
      <c r="C1603" t="s">
        <v>30</v>
      </c>
      <c r="D1603" t="s">
        <v>51</v>
      </c>
      <c r="E1603" s="2">
        <v>69</v>
      </c>
      <c r="F1603">
        <v>16</v>
      </c>
      <c r="G1603">
        <v>53</v>
      </c>
      <c r="H1603">
        <v>0</v>
      </c>
      <c r="I1603" t="s">
        <v>32</v>
      </c>
      <c r="J1603" s="33" t="s">
        <v>142</v>
      </c>
    </row>
    <row r="1604" spans="1:10" x14ac:dyDescent="0.25">
      <c r="A1604" t="s">
        <v>52</v>
      </c>
      <c r="B1604">
        <v>4</v>
      </c>
      <c r="C1604" t="s">
        <v>34</v>
      </c>
      <c r="D1604" t="s">
        <v>53</v>
      </c>
      <c r="E1604" s="2">
        <v>69</v>
      </c>
      <c r="F1604">
        <v>0</v>
      </c>
      <c r="G1604">
        <v>69</v>
      </c>
      <c r="H1604">
        <v>10.5</v>
      </c>
      <c r="I1604" t="s">
        <v>33</v>
      </c>
      <c r="J1604" s="33" t="s">
        <v>142</v>
      </c>
    </row>
    <row r="1605" spans="1:10" x14ac:dyDescent="0.25">
      <c r="A1605" t="s">
        <v>63</v>
      </c>
      <c r="B1605">
        <v>1</v>
      </c>
      <c r="C1605" t="s">
        <v>34</v>
      </c>
      <c r="D1605" t="s">
        <v>67</v>
      </c>
      <c r="E1605" s="2">
        <v>69</v>
      </c>
      <c r="F1605">
        <v>0</v>
      </c>
      <c r="G1605">
        <v>69</v>
      </c>
      <c r="H1605">
        <v>11</v>
      </c>
      <c r="I1605" t="s">
        <v>33</v>
      </c>
      <c r="J1605" s="33" t="s">
        <v>142</v>
      </c>
    </row>
    <row r="1606" spans="1:10" x14ac:dyDescent="0.25">
      <c r="A1606" t="s">
        <v>29</v>
      </c>
      <c r="B1606">
        <v>1</v>
      </c>
      <c r="C1606" t="s">
        <v>30</v>
      </c>
      <c r="D1606" t="s">
        <v>31</v>
      </c>
      <c r="E1606" s="2">
        <v>70</v>
      </c>
      <c r="F1606">
        <v>0</v>
      </c>
      <c r="G1606">
        <v>70</v>
      </c>
      <c r="H1606">
        <v>13.6</v>
      </c>
      <c r="I1606" t="s">
        <v>33</v>
      </c>
      <c r="J1606" s="33" t="s">
        <v>142</v>
      </c>
    </row>
    <row r="1607" spans="1:10" x14ac:dyDescent="0.25">
      <c r="A1607" t="s">
        <v>29</v>
      </c>
      <c r="B1607">
        <v>2</v>
      </c>
      <c r="C1607" t="s">
        <v>34</v>
      </c>
      <c r="D1607" t="s">
        <v>37</v>
      </c>
      <c r="E1607" s="2">
        <v>70</v>
      </c>
      <c r="F1607">
        <v>0</v>
      </c>
      <c r="G1607">
        <v>70</v>
      </c>
      <c r="H1607">
        <v>13.2</v>
      </c>
      <c r="I1607" t="s">
        <v>33</v>
      </c>
      <c r="J1607" s="33" t="s">
        <v>142</v>
      </c>
    </row>
    <row r="1608" spans="1:10" x14ac:dyDescent="0.25">
      <c r="A1608" t="s">
        <v>29</v>
      </c>
      <c r="B1608">
        <v>3</v>
      </c>
      <c r="C1608" t="s">
        <v>30</v>
      </c>
      <c r="D1608" t="s">
        <v>38</v>
      </c>
      <c r="E1608" s="2">
        <v>70</v>
      </c>
      <c r="F1608">
        <v>0</v>
      </c>
      <c r="G1608">
        <v>70</v>
      </c>
      <c r="H1608">
        <v>14.8</v>
      </c>
      <c r="I1608" t="s">
        <v>33</v>
      </c>
      <c r="J1608" s="33" t="s">
        <v>142</v>
      </c>
    </row>
    <row r="1609" spans="1:10" x14ac:dyDescent="0.25">
      <c r="A1609" t="s">
        <v>29</v>
      </c>
      <c r="B1609">
        <v>4</v>
      </c>
      <c r="C1609" t="s">
        <v>30</v>
      </c>
      <c r="D1609" t="s">
        <v>40</v>
      </c>
      <c r="E1609" s="2">
        <v>70</v>
      </c>
      <c r="F1609">
        <v>0</v>
      </c>
      <c r="G1609">
        <v>70</v>
      </c>
      <c r="H1609">
        <v>8.3000000000000007</v>
      </c>
      <c r="I1609" t="s">
        <v>33</v>
      </c>
      <c r="J1609" s="33" t="s">
        <v>142</v>
      </c>
    </row>
    <row r="1610" spans="1:10" x14ac:dyDescent="0.25">
      <c r="A1610" t="s">
        <v>29</v>
      </c>
      <c r="B1610">
        <v>4</v>
      </c>
      <c r="C1610" t="s">
        <v>30</v>
      </c>
      <c r="D1610" t="s">
        <v>40</v>
      </c>
      <c r="E1610" s="2">
        <v>70</v>
      </c>
      <c r="F1610">
        <v>0</v>
      </c>
      <c r="G1610">
        <v>70</v>
      </c>
      <c r="H1610">
        <v>14.5</v>
      </c>
      <c r="I1610" t="s">
        <v>33</v>
      </c>
      <c r="J1610" s="33" t="s">
        <v>142</v>
      </c>
    </row>
    <row r="1611" spans="1:10" x14ac:dyDescent="0.25">
      <c r="A1611" t="s">
        <v>42</v>
      </c>
      <c r="B1611">
        <v>1</v>
      </c>
      <c r="C1611" t="s">
        <v>34</v>
      </c>
      <c r="D1611" t="s">
        <v>44</v>
      </c>
      <c r="E1611" s="2">
        <v>70</v>
      </c>
      <c r="F1611">
        <v>0</v>
      </c>
      <c r="G1611">
        <v>70</v>
      </c>
      <c r="H1611">
        <v>7.5</v>
      </c>
      <c r="I1611" t="s">
        <v>33</v>
      </c>
      <c r="J1611" s="33" t="s">
        <v>142</v>
      </c>
    </row>
    <row r="1612" spans="1:10" x14ac:dyDescent="0.25">
      <c r="A1612" t="s">
        <v>42</v>
      </c>
      <c r="B1612">
        <v>2</v>
      </c>
      <c r="C1612" t="s">
        <v>34</v>
      </c>
      <c r="D1612" t="s">
        <v>46</v>
      </c>
      <c r="E1612" s="2">
        <v>70</v>
      </c>
      <c r="F1612">
        <v>3</v>
      </c>
      <c r="G1612">
        <v>67</v>
      </c>
      <c r="H1612">
        <v>8.6</v>
      </c>
      <c r="I1612" t="s">
        <v>33</v>
      </c>
      <c r="J1612" s="33" t="s">
        <v>142</v>
      </c>
    </row>
    <row r="1613" spans="1:10" x14ac:dyDescent="0.25">
      <c r="A1613" t="s">
        <v>42</v>
      </c>
      <c r="B1613">
        <v>2</v>
      </c>
      <c r="C1613" t="s">
        <v>34</v>
      </c>
      <c r="D1613" t="s">
        <v>46</v>
      </c>
      <c r="E1613" s="2">
        <v>70</v>
      </c>
      <c r="F1613">
        <v>0</v>
      </c>
      <c r="G1613">
        <v>70</v>
      </c>
      <c r="H1613">
        <v>18</v>
      </c>
      <c r="I1613" t="s">
        <v>33</v>
      </c>
      <c r="J1613" s="33" t="s">
        <v>142</v>
      </c>
    </row>
    <row r="1614" spans="1:10" x14ac:dyDescent="0.25">
      <c r="A1614" t="s">
        <v>42</v>
      </c>
      <c r="B1614">
        <v>4</v>
      </c>
      <c r="C1614" t="s">
        <v>30</v>
      </c>
      <c r="D1614" t="s">
        <v>51</v>
      </c>
      <c r="E1614" s="2">
        <v>70</v>
      </c>
      <c r="F1614">
        <v>0</v>
      </c>
      <c r="G1614">
        <v>70</v>
      </c>
      <c r="H1614">
        <v>15.8</v>
      </c>
      <c r="I1614" t="s">
        <v>33</v>
      </c>
      <c r="J1614" s="33" t="s">
        <v>142</v>
      </c>
    </row>
    <row r="1615" spans="1:10" x14ac:dyDescent="0.25">
      <c r="A1615" t="s">
        <v>54</v>
      </c>
      <c r="B1615">
        <v>1</v>
      </c>
      <c r="C1615" t="s">
        <v>30</v>
      </c>
      <c r="D1615" t="s">
        <v>55</v>
      </c>
      <c r="E1615" s="2">
        <v>70</v>
      </c>
      <c r="F1615">
        <v>57</v>
      </c>
      <c r="G1615">
        <v>13</v>
      </c>
      <c r="H1615">
        <v>0</v>
      </c>
      <c r="I1615" t="s">
        <v>32</v>
      </c>
      <c r="J1615" s="33" t="s">
        <v>142</v>
      </c>
    </row>
    <row r="1616" spans="1:10" x14ac:dyDescent="0.25">
      <c r="A1616" t="s">
        <v>29</v>
      </c>
      <c r="B1616">
        <v>1</v>
      </c>
      <c r="C1616" t="s">
        <v>30</v>
      </c>
      <c r="D1616" t="s">
        <v>31</v>
      </c>
      <c r="E1616" s="2">
        <v>71</v>
      </c>
      <c r="F1616">
        <v>0</v>
      </c>
      <c r="G1616">
        <v>71</v>
      </c>
      <c r="H1616">
        <v>13.2</v>
      </c>
      <c r="I1616" t="s">
        <v>33</v>
      </c>
      <c r="J1616" s="33" t="s">
        <v>142</v>
      </c>
    </row>
    <row r="1617" spans="1:10" x14ac:dyDescent="0.25">
      <c r="A1617" t="s">
        <v>29</v>
      </c>
      <c r="B1617">
        <v>1</v>
      </c>
      <c r="C1617" t="s">
        <v>30</v>
      </c>
      <c r="D1617" t="s">
        <v>31</v>
      </c>
      <c r="E1617" s="2">
        <v>71</v>
      </c>
      <c r="F1617">
        <v>0</v>
      </c>
      <c r="G1617">
        <v>71</v>
      </c>
      <c r="H1617">
        <v>12.7</v>
      </c>
      <c r="I1617" t="s">
        <v>33</v>
      </c>
      <c r="J1617" s="33" t="s">
        <v>142</v>
      </c>
    </row>
    <row r="1618" spans="1:10" x14ac:dyDescent="0.25">
      <c r="A1618" t="s">
        <v>29</v>
      </c>
      <c r="B1618">
        <v>1</v>
      </c>
      <c r="C1618" t="s">
        <v>34</v>
      </c>
      <c r="D1618" t="s">
        <v>35</v>
      </c>
      <c r="E1618" s="2">
        <v>71</v>
      </c>
      <c r="F1618">
        <v>0</v>
      </c>
      <c r="G1618">
        <v>71</v>
      </c>
      <c r="H1618">
        <v>11</v>
      </c>
      <c r="I1618" t="s">
        <v>33</v>
      </c>
      <c r="J1618" s="33" t="s">
        <v>142</v>
      </c>
    </row>
    <row r="1619" spans="1:10" x14ac:dyDescent="0.25">
      <c r="A1619" t="s">
        <v>29</v>
      </c>
      <c r="B1619">
        <v>2</v>
      </c>
      <c r="C1619" t="s">
        <v>34</v>
      </c>
      <c r="D1619" t="s">
        <v>37</v>
      </c>
      <c r="E1619" s="2">
        <v>71</v>
      </c>
      <c r="F1619">
        <v>0</v>
      </c>
      <c r="G1619">
        <v>71</v>
      </c>
      <c r="H1619">
        <v>8.5</v>
      </c>
      <c r="I1619" t="s">
        <v>33</v>
      </c>
      <c r="J1619" s="33" t="s">
        <v>142</v>
      </c>
    </row>
    <row r="1620" spans="1:10" x14ac:dyDescent="0.25">
      <c r="A1620" t="s">
        <v>29</v>
      </c>
      <c r="B1620">
        <v>2</v>
      </c>
      <c r="C1620" t="s">
        <v>34</v>
      </c>
      <c r="D1620" t="s">
        <v>37</v>
      </c>
      <c r="E1620" s="2">
        <v>71</v>
      </c>
      <c r="F1620">
        <v>0</v>
      </c>
      <c r="G1620">
        <v>71</v>
      </c>
      <c r="H1620">
        <v>0.1</v>
      </c>
      <c r="I1620" t="s">
        <v>32</v>
      </c>
      <c r="J1620" s="33" t="s">
        <v>142</v>
      </c>
    </row>
    <row r="1621" spans="1:10" x14ac:dyDescent="0.25">
      <c r="A1621" t="s">
        <v>29</v>
      </c>
      <c r="B1621">
        <v>4</v>
      </c>
      <c r="C1621" t="s">
        <v>34</v>
      </c>
      <c r="D1621" t="s">
        <v>41</v>
      </c>
      <c r="E1621" s="2">
        <v>71</v>
      </c>
      <c r="F1621">
        <v>0</v>
      </c>
      <c r="G1621">
        <v>71</v>
      </c>
      <c r="H1621">
        <v>7.1</v>
      </c>
      <c r="I1621" t="s">
        <v>33</v>
      </c>
      <c r="J1621" s="33" t="s">
        <v>142</v>
      </c>
    </row>
    <row r="1622" spans="1:10" x14ac:dyDescent="0.25">
      <c r="A1622" t="s">
        <v>52</v>
      </c>
      <c r="B1622">
        <v>4</v>
      </c>
      <c r="C1622" t="s">
        <v>34</v>
      </c>
      <c r="D1622" t="s">
        <v>53</v>
      </c>
      <c r="E1622" s="2">
        <v>71</v>
      </c>
      <c r="F1622">
        <v>0</v>
      </c>
      <c r="G1622">
        <v>71</v>
      </c>
      <c r="H1622">
        <v>9.4</v>
      </c>
      <c r="I1622" t="s">
        <v>33</v>
      </c>
      <c r="J1622" s="33" t="s">
        <v>142</v>
      </c>
    </row>
    <row r="1623" spans="1:10" x14ac:dyDescent="0.25">
      <c r="A1623" t="s">
        <v>54</v>
      </c>
      <c r="B1623">
        <v>4</v>
      </c>
      <c r="C1623" t="s">
        <v>34</v>
      </c>
      <c r="D1623" t="s">
        <v>62</v>
      </c>
      <c r="E1623" s="2">
        <v>71</v>
      </c>
      <c r="F1623">
        <v>0</v>
      </c>
      <c r="G1623">
        <v>71</v>
      </c>
      <c r="H1623">
        <v>7.8</v>
      </c>
      <c r="I1623" t="s">
        <v>33</v>
      </c>
      <c r="J1623" s="33" t="s">
        <v>142</v>
      </c>
    </row>
    <row r="1624" spans="1:10" x14ac:dyDescent="0.25">
      <c r="A1624" t="s">
        <v>63</v>
      </c>
      <c r="B1624">
        <v>5</v>
      </c>
      <c r="C1624" t="s">
        <v>34</v>
      </c>
      <c r="D1624" t="s">
        <v>65</v>
      </c>
      <c r="E1624" s="2">
        <v>71</v>
      </c>
      <c r="F1624">
        <v>0</v>
      </c>
      <c r="G1624">
        <v>71</v>
      </c>
      <c r="H1624">
        <v>0.3</v>
      </c>
      <c r="I1624" t="s">
        <v>32</v>
      </c>
      <c r="J1624" s="33" t="s">
        <v>142</v>
      </c>
    </row>
    <row r="1625" spans="1:10" x14ac:dyDescent="0.25">
      <c r="A1625" t="s">
        <v>71</v>
      </c>
      <c r="B1625">
        <v>11</v>
      </c>
      <c r="C1625" t="s">
        <v>30</v>
      </c>
      <c r="D1625" t="s">
        <v>76</v>
      </c>
      <c r="E1625" s="2">
        <v>71</v>
      </c>
      <c r="F1625">
        <v>0</v>
      </c>
      <c r="G1625">
        <v>71</v>
      </c>
      <c r="H1625">
        <v>5</v>
      </c>
      <c r="I1625" t="s">
        <v>33</v>
      </c>
      <c r="J1625" s="33" t="s">
        <v>142</v>
      </c>
    </row>
    <row r="1626" spans="1:10" x14ac:dyDescent="0.25">
      <c r="A1626" t="s">
        <v>29</v>
      </c>
      <c r="B1626">
        <v>1</v>
      </c>
      <c r="C1626" t="s">
        <v>30</v>
      </c>
      <c r="D1626" t="s">
        <v>31</v>
      </c>
      <c r="E1626" s="2">
        <v>72</v>
      </c>
      <c r="F1626">
        <v>0</v>
      </c>
      <c r="G1626">
        <v>72</v>
      </c>
      <c r="H1626">
        <v>14.3</v>
      </c>
      <c r="I1626" t="s">
        <v>33</v>
      </c>
      <c r="J1626" s="33" t="s">
        <v>142</v>
      </c>
    </row>
    <row r="1627" spans="1:10" x14ac:dyDescent="0.25">
      <c r="A1627" t="s">
        <v>42</v>
      </c>
      <c r="B1627">
        <v>2</v>
      </c>
      <c r="C1627" t="s">
        <v>34</v>
      </c>
      <c r="D1627" t="s">
        <v>46</v>
      </c>
      <c r="E1627" s="2">
        <v>72</v>
      </c>
      <c r="F1627">
        <v>0</v>
      </c>
      <c r="G1627">
        <v>72</v>
      </c>
      <c r="H1627">
        <v>6.5</v>
      </c>
      <c r="I1627" t="s">
        <v>33</v>
      </c>
      <c r="J1627" s="33" t="s">
        <v>142</v>
      </c>
    </row>
    <row r="1628" spans="1:10" x14ac:dyDescent="0.25">
      <c r="A1628" t="s">
        <v>42</v>
      </c>
      <c r="B1628">
        <v>5</v>
      </c>
      <c r="C1628" t="s">
        <v>34</v>
      </c>
      <c r="D1628" t="s">
        <v>48</v>
      </c>
      <c r="E1628" s="2">
        <v>72</v>
      </c>
      <c r="F1628">
        <v>0</v>
      </c>
      <c r="G1628">
        <v>72</v>
      </c>
      <c r="H1628">
        <v>9</v>
      </c>
      <c r="I1628" t="s">
        <v>33</v>
      </c>
      <c r="J1628" s="33" t="s">
        <v>142</v>
      </c>
    </row>
    <row r="1629" spans="1:10" x14ac:dyDescent="0.25">
      <c r="A1629" t="s">
        <v>42</v>
      </c>
      <c r="B1629">
        <v>5</v>
      </c>
      <c r="C1629" t="s">
        <v>34</v>
      </c>
      <c r="D1629" t="s">
        <v>48</v>
      </c>
      <c r="E1629" s="2">
        <v>72</v>
      </c>
      <c r="F1629">
        <v>0</v>
      </c>
      <c r="G1629">
        <v>72</v>
      </c>
      <c r="H1629">
        <v>3.6</v>
      </c>
      <c r="I1629" t="s">
        <v>33</v>
      </c>
      <c r="J1629" s="33" t="s">
        <v>142</v>
      </c>
    </row>
    <row r="1630" spans="1:10" x14ac:dyDescent="0.25">
      <c r="A1630" t="s">
        <v>42</v>
      </c>
      <c r="B1630">
        <v>4</v>
      </c>
      <c r="C1630" t="s">
        <v>30</v>
      </c>
      <c r="D1630" t="s">
        <v>51</v>
      </c>
      <c r="E1630" s="2">
        <v>72</v>
      </c>
      <c r="F1630">
        <v>0</v>
      </c>
      <c r="G1630">
        <v>72</v>
      </c>
      <c r="H1630">
        <v>4.9000000000000004</v>
      </c>
      <c r="I1630" t="s">
        <v>33</v>
      </c>
      <c r="J1630" s="33" t="s">
        <v>142</v>
      </c>
    </row>
    <row r="1631" spans="1:10" x14ac:dyDescent="0.25">
      <c r="A1631" t="s">
        <v>63</v>
      </c>
      <c r="B1631">
        <v>5</v>
      </c>
      <c r="C1631" t="s">
        <v>34</v>
      </c>
      <c r="D1631" t="s">
        <v>65</v>
      </c>
      <c r="E1631" s="2">
        <v>72</v>
      </c>
      <c r="F1631">
        <v>0</v>
      </c>
      <c r="G1631">
        <v>72</v>
      </c>
      <c r="H1631">
        <v>0.3</v>
      </c>
      <c r="I1631" t="s">
        <v>32</v>
      </c>
      <c r="J1631" s="33" t="s">
        <v>142</v>
      </c>
    </row>
    <row r="1632" spans="1:10" x14ac:dyDescent="0.25">
      <c r="A1632" t="s">
        <v>63</v>
      </c>
      <c r="B1632">
        <v>5</v>
      </c>
      <c r="C1632" t="s">
        <v>34</v>
      </c>
      <c r="D1632" t="s">
        <v>65</v>
      </c>
      <c r="E1632" s="2">
        <v>72</v>
      </c>
      <c r="F1632">
        <v>50</v>
      </c>
      <c r="G1632">
        <v>22</v>
      </c>
      <c r="H1632">
        <v>0</v>
      </c>
      <c r="I1632" t="s">
        <v>32</v>
      </c>
      <c r="J1632" s="33" t="s">
        <v>142</v>
      </c>
    </row>
    <row r="1633" spans="1:10" x14ac:dyDescent="0.25">
      <c r="A1633" t="s">
        <v>63</v>
      </c>
      <c r="B1633">
        <v>5</v>
      </c>
      <c r="C1633" t="s">
        <v>34</v>
      </c>
      <c r="D1633" t="s">
        <v>65</v>
      </c>
      <c r="E1633" s="2">
        <v>72</v>
      </c>
      <c r="F1633">
        <v>0</v>
      </c>
      <c r="G1633">
        <v>72</v>
      </c>
      <c r="H1633">
        <v>0.6</v>
      </c>
      <c r="I1633" t="s">
        <v>32</v>
      </c>
      <c r="J1633" s="33" t="s">
        <v>142</v>
      </c>
    </row>
    <row r="1634" spans="1:10" x14ac:dyDescent="0.25">
      <c r="A1634" t="s">
        <v>63</v>
      </c>
      <c r="B1634">
        <v>1</v>
      </c>
      <c r="C1634" t="s">
        <v>34</v>
      </c>
      <c r="D1634" t="s">
        <v>67</v>
      </c>
      <c r="E1634" s="2">
        <v>72</v>
      </c>
      <c r="F1634">
        <v>0</v>
      </c>
      <c r="G1634">
        <v>72</v>
      </c>
      <c r="H1634">
        <v>2.1</v>
      </c>
      <c r="I1634" t="s">
        <v>33</v>
      </c>
      <c r="J1634" s="33" t="s">
        <v>142</v>
      </c>
    </row>
    <row r="1635" spans="1:10" x14ac:dyDescent="0.25">
      <c r="A1635" t="s">
        <v>68</v>
      </c>
      <c r="B1635">
        <v>6</v>
      </c>
      <c r="C1635" t="s">
        <v>34</v>
      </c>
      <c r="D1635" t="s">
        <v>70</v>
      </c>
      <c r="E1635" s="2">
        <v>72</v>
      </c>
      <c r="F1635">
        <v>0</v>
      </c>
      <c r="G1635">
        <v>72</v>
      </c>
      <c r="H1635">
        <v>3.3</v>
      </c>
      <c r="I1635" t="s">
        <v>33</v>
      </c>
      <c r="J1635" s="33" t="s">
        <v>142</v>
      </c>
    </row>
    <row r="1636" spans="1:10" x14ac:dyDescent="0.25">
      <c r="A1636" t="s">
        <v>68</v>
      </c>
      <c r="B1636">
        <v>6</v>
      </c>
      <c r="C1636" t="s">
        <v>34</v>
      </c>
      <c r="D1636" t="s">
        <v>70</v>
      </c>
      <c r="E1636" s="2">
        <v>72</v>
      </c>
      <c r="F1636">
        <v>0</v>
      </c>
      <c r="G1636">
        <v>72</v>
      </c>
      <c r="H1636">
        <v>4.2</v>
      </c>
      <c r="I1636" t="s">
        <v>33</v>
      </c>
      <c r="J1636" s="33" t="s">
        <v>142</v>
      </c>
    </row>
    <row r="1637" spans="1:10" x14ac:dyDescent="0.25">
      <c r="A1637" t="s">
        <v>29</v>
      </c>
      <c r="B1637">
        <v>1</v>
      </c>
      <c r="C1637" t="s">
        <v>30</v>
      </c>
      <c r="D1637" t="s">
        <v>31</v>
      </c>
      <c r="E1637" s="2">
        <v>73</v>
      </c>
      <c r="F1637">
        <v>0</v>
      </c>
      <c r="G1637">
        <v>73</v>
      </c>
      <c r="H1637">
        <v>9.4</v>
      </c>
      <c r="I1637" t="s">
        <v>33</v>
      </c>
      <c r="J1637" s="33" t="s">
        <v>142</v>
      </c>
    </row>
    <row r="1638" spans="1:10" x14ac:dyDescent="0.25">
      <c r="A1638" t="s">
        <v>29</v>
      </c>
      <c r="B1638">
        <v>1</v>
      </c>
      <c r="C1638" t="s">
        <v>34</v>
      </c>
      <c r="D1638" t="s">
        <v>35</v>
      </c>
      <c r="E1638" s="2">
        <v>73</v>
      </c>
      <c r="F1638">
        <v>0</v>
      </c>
      <c r="G1638">
        <v>73</v>
      </c>
      <c r="H1638">
        <v>3.4</v>
      </c>
      <c r="I1638" t="s">
        <v>33</v>
      </c>
      <c r="J1638" s="33" t="s">
        <v>142</v>
      </c>
    </row>
    <row r="1639" spans="1:10" x14ac:dyDescent="0.25">
      <c r="A1639" t="s">
        <v>29</v>
      </c>
      <c r="B1639">
        <v>4</v>
      </c>
      <c r="C1639" t="s">
        <v>30</v>
      </c>
      <c r="D1639" t="s">
        <v>40</v>
      </c>
      <c r="E1639" s="2">
        <v>73</v>
      </c>
      <c r="F1639">
        <v>4</v>
      </c>
      <c r="G1639">
        <v>69</v>
      </c>
      <c r="H1639">
        <v>2</v>
      </c>
      <c r="I1639" t="s">
        <v>33</v>
      </c>
      <c r="J1639" s="33" t="s">
        <v>142</v>
      </c>
    </row>
    <row r="1640" spans="1:10" x14ac:dyDescent="0.25">
      <c r="A1640" t="s">
        <v>42</v>
      </c>
      <c r="B1640">
        <v>3</v>
      </c>
      <c r="C1640" t="s">
        <v>34</v>
      </c>
      <c r="D1640" t="s">
        <v>50</v>
      </c>
      <c r="E1640" s="2">
        <v>73</v>
      </c>
      <c r="F1640">
        <v>0</v>
      </c>
      <c r="G1640">
        <v>73</v>
      </c>
      <c r="H1640">
        <v>12.6</v>
      </c>
      <c r="I1640" t="s">
        <v>33</v>
      </c>
      <c r="J1640" s="33" t="s">
        <v>142</v>
      </c>
    </row>
    <row r="1641" spans="1:10" x14ac:dyDescent="0.25">
      <c r="A1641" t="s">
        <v>52</v>
      </c>
      <c r="B1641">
        <v>4</v>
      </c>
      <c r="C1641" t="s">
        <v>34</v>
      </c>
      <c r="D1641" t="s">
        <v>53</v>
      </c>
      <c r="E1641" s="2">
        <v>73</v>
      </c>
      <c r="F1641">
        <v>0</v>
      </c>
      <c r="G1641">
        <v>73</v>
      </c>
      <c r="H1641">
        <v>1.6</v>
      </c>
      <c r="I1641" t="s">
        <v>33</v>
      </c>
      <c r="J1641" s="33" t="s">
        <v>142</v>
      </c>
    </row>
    <row r="1642" spans="1:10" x14ac:dyDescent="0.25">
      <c r="A1642" t="s">
        <v>54</v>
      </c>
      <c r="B1642">
        <v>4</v>
      </c>
      <c r="C1642" t="s">
        <v>30</v>
      </c>
      <c r="D1642" t="s">
        <v>61</v>
      </c>
      <c r="E1642" s="2">
        <v>73</v>
      </c>
      <c r="F1642">
        <v>0</v>
      </c>
      <c r="G1642">
        <v>73</v>
      </c>
      <c r="H1642">
        <v>15</v>
      </c>
      <c r="I1642" t="s">
        <v>33</v>
      </c>
      <c r="J1642" s="33" t="s">
        <v>142</v>
      </c>
    </row>
    <row r="1643" spans="1:10" x14ac:dyDescent="0.25">
      <c r="A1643" t="s">
        <v>54</v>
      </c>
      <c r="B1643">
        <v>4</v>
      </c>
      <c r="C1643" t="s">
        <v>34</v>
      </c>
      <c r="D1643" t="s">
        <v>62</v>
      </c>
      <c r="E1643" s="2">
        <v>73</v>
      </c>
      <c r="F1643">
        <v>0</v>
      </c>
      <c r="G1643">
        <v>73</v>
      </c>
      <c r="H1643">
        <v>5.4</v>
      </c>
      <c r="I1643" t="s">
        <v>33</v>
      </c>
      <c r="J1643" s="33" t="s">
        <v>142</v>
      </c>
    </row>
    <row r="1644" spans="1:10" x14ac:dyDescent="0.25">
      <c r="A1644" t="s">
        <v>63</v>
      </c>
      <c r="B1644">
        <v>1</v>
      </c>
      <c r="C1644" t="s">
        <v>34</v>
      </c>
      <c r="D1644" t="s">
        <v>67</v>
      </c>
      <c r="E1644" s="2">
        <v>73</v>
      </c>
      <c r="F1644">
        <v>0</v>
      </c>
      <c r="G1644">
        <v>73</v>
      </c>
      <c r="H1644">
        <v>3.9</v>
      </c>
      <c r="I1644" t="s">
        <v>33</v>
      </c>
      <c r="J1644" s="33" t="s">
        <v>142</v>
      </c>
    </row>
    <row r="1645" spans="1:10" x14ac:dyDescent="0.25">
      <c r="A1645" t="s">
        <v>29</v>
      </c>
      <c r="B1645">
        <v>1</v>
      </c>
      <c r="C1645" t="s">
        <v>30</v>
      </c>
      <c r="D1645" t="s">
        <v>31</v>
      </c>
      <c r="E1645" s="2">
        <v>74</v>
      </c>
      <c r="F1645">
        <v>0</v>
      </c>
      <c r="G1645">
        <v>74</v>
      </c>
      <c r="H1645">
        <v>1.6</v>
      </c>
      <c r="I1645" t="s">
        <v>33</v>
      </c>
      <c r="J1645" s="33" t="s">
        <v>142</v>
      </c>
    </row>
    <row r="1646" spans="1:10" x14ac:dyDescent="0.25">
      <c r="A1646" t="s">
        <v>42</v>
      </c>
      <c r="B1646">
        <v>2</v>
      </c>
      <c r="C1646" t="s">
        <v>30</v>
      </c>
      <c r="D1646" t="s">
        <v>45</v>
      </c>
      <c r="E1646" s="2">
        <v>74</v>
      </c>
      <c r="F1646">
        <v>74</v>
      </c>
      <c r="G1646">
        <v>0</v>
      </c>
      <c r="H1646">
        <v>0</v>
      </c>
      <c r="I1646" t="s">
        <v>32</v>
      </c>
      <c r="J1646" s="33" t="s">
        <v>142</v>
      </c>
    </row>
    <row r="1647" spans="1:10" x14ac:dyDescent="0.25">
      <c r="A1647" t="s">
        <v>42</v>
      </c>
      <c r="B1647">
        <v>3</v>
      </c>
      <c r="C1647" t="s">
        <v>34</v>
      </c>
      <c r="D1647" t="s">
        <v>50</v>
      </c>
      <c r="E1647" s="2">
        <v>74</v>
      </c>
      <c r="F1647">
        <v>0</v>
      </c>
      <c r="G1647">
        <v>74</v>
      </c>
      <c r="H1647">
        <v>3.1</v>
      </c>
      <c r="I1647" t="s">
        <v>33</v>
      </c>
      <c r="J1647" s="33" t="s">
        <v>142</v>
      </c>
    </row>
    <row r="1648" spans="1:10" x14ac:dyDescent="0.25">
      <c r="A1648" t="s">
        <v>54</v>
      </c>
      <c r="B1648">
        <v>4</v>
      </c>
      <c r="C1648" t="s">
        <v>34</v>
      </c>
      <c r="D1648" t="s">
        <v>62</v>
      </c>
      <c r="E1648" s="2">
        <v>74</v>
      </c>
      <c r="F1648">
        <v>0</v>
      </c>
      <c r="G1648">
        <v>74</v>
      </c>
      <c r="H1648">
        <v>2.7</v>
      </c>
      <c r="I1648" t="s">
        <v>33</v>
      </c>
      <c r="J1648" s="33" t="s">
        <v>142</v>
      </c>
    </row>
    <row r="1649" spans="1:10" x14ac:dyDescent="0.25">
      <c r="A1649" t="s">
        <v>63</v>
      </c>
      <c r="B1649">
        <v>5</v>
      </c>
      <c r="C1649" t="s">
        <v>34</v>
      </c>
      <c r="D1649" t="s">
        <v>65</v>
      </c>
      <c r="E1649" s="2">
        <v>74</v>
      </c>
      <c r="F1649">
        <v>0</v>
      </c>
      <c r="G1649">
        <v>74</v>
      </c>
      <c r="H1649">
        <v>1.4</v>
      </c>
      <c r="I1649" t="s">
        <v>33</v>
      </c>
      <c r="J1649" s="33" t="s">
        <v>142</v>
      </c>
    </row>
    <row r="1650" spans="1:10" x14ac:dyDescent="0.25">
      <c r="A1650" t="s">
        <v>63</v>
      </c>
      <c r="B1650">
        <v>1</v>
      </c>
      <c r="C1650" t="s">
        <v>34</v>
      </c>
      <c r="D1650" t="s">
        <v>67</v>
      </c>
      <c r="E1650" s="2">
        <v>74</v>
      </c>
      <c r="F1650">
        <v>0</v>
      </c>
      <c r="G1650">
        <v>74</v>
      </c>
      <c r="H1650">
        <v>11.3</v>
      </c>
      <c r="I1650" t="s">
        <v>33</v>
      </c>
      <c r="J1650" s="33" t="s">
        <v>142</v>
      </c>
    </row>
    <row r="1651" spans="1:10" x14ac:dyDescent="0.25">
      <c r="A1651" t="s">
        <v>68</v>
      </c>
      <c r="B1651">
        <v>6</v>
      </c>
      <c r="C1651" t="s">
        <v>34</v>
      </c>
      <c r="D1651" t="s">
        <v>70</v>
      </c>
      <c r="E1651" s="2">
        <v>74</v>
      </c>
      <c r="F1651">
        <v>0</v>
      </c>
      <c r="G1651">
        <v>74</v>
      </c>
      <c r="H1651">
        <v>3.5</v>
      </c>
      <c r="I1651" t="s">
        <v>33</v>
      </c>
      <c r="J1651" s="33" t="s">
        <v>142</v>
      </c>
    </row>
    <row r="1652" spans="1:10" x14ac:dyDescent="0.25">
      <c r="A1652" t="s">
        <v>29</v>
      </c>
      <c r="B1652">
        <v>1</v>
      </c>
      <c r="C1652" t="s">
        <v>34</v>
      </c>
      <c r="D1652" t="s">
        <v>35</v>
      </c>
      <c r="E1652" s="2">
        <v>75</v>
      </c>
      <c r="F1652">
        <v>0</v>
      </c>
      <c r="G1652">
        <v>75</v>
      </c>
      <c r="H1652">
        <v>2</v>
      </c>
      <c r="I1652" t="s">
        <v>33</v>
      </c>
      <c r="J1652" s="33" t="s">
        <v>142</v>
      </c>
    </row>
    <row r="1653" spans="1:10" x14ac:dyDescent="0.25">
      <c r="A1653" t="s">
        <v>29</v>
      </c>
      <c r="B1653">
        <v>1</v>
      </c>
      <c r="C1653" t="s">
        <v>34</v>
      </c>
      <c r="D1653" t="s">
        <v>35</v>
      </c>
      <c r="E1653" s="2">
        <v>75</v>
      </c>
      <c r="F1653">
        <v>0</v>
      </c>
      <c r="G1653">
        <v>75</v>
      </c>
      <c r="H1653">
        <v>3</v>
      </c>
      <c r="I1653" t="s">
        <v>33</v>
      </c>
      <c r="J1653" s="33" t="s">
        <v>142</v>
      </c>
    </row>
    <row r="1654" spans="1:10" x14ac:dyDescent="0.25">
      <c r="A1654" t="s">
        <v>29</v>
      </c>
      <c r="B1654">
        <v>3</v>
      </c>
      <c r="C1654" t="s">
        <v>34</v>
      </c>
      <c r="D1654" t="s">
        <v>39</v>
      </c>
      <c r="E1654" s="2">
        <v>75</v>
      </c>
      <c r="F1654">
        <v>0</v>
      </c>
      <c r="G1654">
        <v>75</v>
      </c>
      <c r="H1654">
        <v>10.5</v>
      </c>
      <c r="I1654" t="s">
        <v>33</v>
      </c>
      <c r="J1654" s="33" t="s">
        <v>142</v>
      </c>
    </row>
    <row r="1655" spans="1:10" x14ac:dyDescent="0.25">
      <c r="A1655" t="s">
        <v>42</v>
      </c>
      <c r="B1655">
        <v>2</v>
      </c>
      <c r="C1655" t="s">
        <v>34</v>
      </c>
      <c r="D1655" t="s">
        <v>46</v>
      </c>
      <c r="E1655" s="2">
        <v>75</v>
      </c>
      <c r="F1655">
        <v>0</v>
      </c>
      <c r="G1655">
        <v>75</v>
      </c>
      <c r="H1655">
        <v>15.3</v>
      </c>
      <c r="I1655" t="s">
        <v>33</v>
      </c>
      <c r="J1655" s="33" t="s">
        <v>142</v>
      </c>
    </row>
    <row r="1656" spans="1:10" x14ac:dyDescent="0.25">
      <c r="A1656" t="s">
        <v>42</v>
      </c>
      <c r="B1656">
        <v>4</v>
      </c>
      <c r="C1656" t="s">
        <v>30</v>
      </c>
      <c r="D1656" t="s">
        <v>51</v>
      </c>
      <c r="E1656" s="2">
        <v>75</v>
      </c>
      <c r="F1656">
        <v>0</v>
      </c>
      <c r="G1656">
        <v>75</v>
      </c>
      <c r="H1656">
        <v>15.3</v>
      </c>
      <c r="I1656" t="s">
        <v>33</v>
      </c>
      <c r="J1656" s="33" t="s">
        <v>142</v>
      </c>
    </row>
    <row r="1657" spans="1:10" x14ac:dyDescent="0.25">
      <c r="A1657" t="s">
        <v>42</v>
      </c>
      <c r="B1657">
        <v>4</v>
      </c>
      <c r="C1657" t="s">
        <v>30</v>
      </c>
      <c r="D1657" t="s">
        <v>51</v>
      </c>
      <c r="E1657" s="2">
        <v>75</v>
      </c>
      <c r="F1657">
        <v>0</v>
      </c>
      <c r="G1657">
        <v>75</v>
      </c>
      <c r="H1657">
        <v>3.1</v>
      </c>
      <c r="I1657" t="s">
        <v>33</v>
      </c>
      <c r="J1657" s="33" t="s">
        <v>142</v>
      </c>
    </row>
    <row r="1658" spans="1:10" x14ac:dyDescent="0.25">
      <c r="A1658" t="s">
        <v>52</v>
      </c>
      <c r="B1658">
        <v>4</v>
      </c>
      <c r="C1658" t="s">
        <v>34</v>
      </c>
      <c r="D1658" t="s">
        <v>53</v>
      </c>
      <c r="E1658" s="2">
        <v>75</v>
      </c>
      <c r="F1658">
        <v>67</v>
      </c>
      <c r="G1658">
        <v>8</v>
      </c>
      <c r="H1658">
        <v>0</v>
      </c>
      <c r="I1658" t="s">
        <v>32</v>
      </c>
      <c r="J1658" s="33" t="s">
        <v>142</v>
      </c>
    </row>
    <row r="1659" spans="1:10" x14ac:dyDescent="0.25">
      <c r="A1659" t="s">
        <v>52</v>
      </c>
      <c r="B1659">
        <v>4</v>
      </c>
      <c r="C1659" t="s">
        <v>34</v>
      </c>
      <c r="D1659" t="s">
        <v>53</v>
      </c>
      <c r="E1659" s="2">
        <v>75</v>
      </c>
      <c r="F1659">
        <v>0</v>
      </c>
      <c r="G1659">
        <v>75</v>
      </c>
      <c r="H1659">
        <v>1.6</v>
      </c>
      <c r="I1659" t="s">
        <v>33</v>
      </c>
      <c r="J1659" s="33" t="s">
        <v>142</v>
      </c>
    </row>
    <row r="1660" spans="1:10" x14ac:dyDescent="0.25">
      <c r="A1660" t="s">
        <v>63</v>
      </c>
      <c r="B1660">
        <v>5</v>
      </c>
      <c r="C1660" t="s">
        <v>34</v>
      </c>
      <c r="D1660" t="s">
        <v>65</v>
      </c>
      <c r="E1660" s="2">
        <v>75</v>
      </c>
      <c r="F1660">
        <v>0</v>
      </c>
      <c r="G1660">
        <v>75</v>
      </c>
      <c r="H1660">
        <v>2.5</v>
      </c>
      <c r="I1660" t="s">
        <v>33</v>
      </c>
      <c r="J1660" s="33" t="s">
        <v>142</v>
      </c>
    </row>
    <row r="1661" spans="1:10" x14ac:dyDescent="0.25">
      <c r="A1661" t="s">
        <v>71</v>
      </c>
      <c r="B1661">
        <v>11</v>
      </c>
      <c r="C1661" t="s">
        <v>30</v>
      </c>
      <c r="D1661" t="s">
        <v>76</v>
      </c>
      <c r="E1661" s="2">
        <v>75</v>
      </c>
      <c r="F1661">
        <v>0</v>
      </c>
      <c r="G1661">
        <v>75</v>
      </c>
      <c r="H1661">
        <v>1.1000000000000001</v>
      </c>
      <c r="I1661" t="s">
        <v>33</v>
      </c>
      <c r="J1661" s="33" t="s">
        <v>142</v>
      </c>
    </row>
    <row r="1662" spans="1:10" x14ac:dyDescent="0.25">
      <c r="A1662" t="s">
        <v>29</v>
      </c>
      <c r="B1662">
        <v>1</v>
      </c>
      <c r="C1662" t="s">
        <v>34</v>
      </c>
      <c r="D1662" t="s">
        <v>35</v>
      </c>
      <c r="E1662" s="2">
        <v>76</v>
      </c>
      <c r="F1662">
        <v>0</v>
      </c>
      <c r="G1662">
        <v>76</v>
      </c>
      <c r="H1662">
        <v>4.3</v>
      </c>
      <c r="I1662" t="s">
        <v>33</v>
      </c>
      <c r="J1662" s="33" t="s">
        <v>143</v>
      </c>
    </row>
    <row r="1663" spans="1:10" x14ac:dyDescent="0.25">
      <c r="A1663" t="s">
        <v>29</v>
      </c>
      <c r="B1663">
        <v>2</v>
      </c>
      <c r="C1663" t="s">
        <v>34</v>
      </c>
      <c r="D1663" t="s">
        <v>37</v>
      </c>
      <c r="E1663" s="2">
        <v>76</v>
      </c>
      <c r="F1663">
        <v>0</v>
      </c>
      <c r="G1663">
        <v>76</v>
      </c>
      <c r="H1663">
        <v>7.8</v>
      </c>
      <c r="I1663" t="s">
        <v>33</v>
      </c>
      <c r="J1663" s="33" t="s">
        <v>143</v>
      </c>
    </row>
    <row r="1664" spans="1:10" x14ac:dyDescent="0.25">
      <c r="A1664" t="s">
        <v>29</v>
      </c>
      <c r="B1664">
        <v>3</v>
      </c>
      <c r="C1664" t="s">
        <v>30</v>
      </c>
      <c r="D1664" t="s">
        <v>38</v>
      </c>
      <c r="E1664" s="2">
        <v>76</v>
      </c>
      <c r="F1664">
        <v>5</v>
      </c>
      <c r="G1664">
        <v>71</v>
      </c>
      <c r="H1664">
        <v>9.8000000000000007</v>
      </c>
      <c r="I1664" t="s">
        <v>33</v>
      </c>
      <c r="J1664" s="33" t="s">
        <v>143</v>
      </c>
    </row>
    <row r="1665" spans="1:10" x14ac:dyDescent="0.25">
      <c r="A1665" t="s">
        <v>29</v>
      </c>
      <c r="B1665">
        <v>4</v>
      </c>
      <c r="C1665" t="s">
        <v>30</v>
      </c>
      <c r="D1665" t="s">
        <v>40</v>
      </c>
      <c r="E1665" s="2">
        <v>76</v>
      </c>
      <c r="F1665">
        <v>5</v>
      </c>
      <c r="G1665">
        <v>71</v>
      </c>
      <c r="H1665">
        <v>1.4</v>
      </c>
      <c r="I1665" t="s">
        <v>33</v>
      </c>
      <c r="J1665" s="33" t="s">
        <v>143</v>
      </c>
    </row>
    <row r="1666" spans="1:10" x14ac:dyDescent="0.25">
      <c r="A1666" t="s">
        <v>42</v>
      </c>
      <c r="B1666">
        <v>3</v>
      </c>
      <c r="C1666" t="s">
        <v>34</v>
      </c>
      <c r="D1666" t="s">
        <v>50</v>
      </c>
      <c r="E1666" s="2">
        <v>76</v>
      </c>
      <c r="F1666">
        <v>0</v>
      </c>
      <c r="G1666">
        <v>76</v>
      </c>
      <c r="H1666">
        <v>7</v>
      </c>
      <c r="I1666" t="s">
        <v>33</v>
      </c>
      <c r="J1666" s="33" t="s">
        <v>143</v>
      </c>
    </row>
    <row r="1667" spans="1:10" x14ac:dyDescent="0.25">
      <c r="A1667" t="s">
        <v>42</v>
      </c>
      <c r="B1667">
        <v>4</v>
      </c>
      <c r="C1667" t="s">
        <v>30</v>
      </c>
      <c r="D1667" t="s">
        <v>51</v>
      </c>
      <c r="E1667" s="2">
        <v>76</v>
      </c>
      <c r="F1667">
        <v>0</v>
      </c>
      <c r="G1667">
        <v>76</v>
      </c>
      <c r="H1667">
        <v>14.5</v>
      </c>
      <c r="I1667" t="s">
        <v>33</v>
      </c>
      <c r="J1667" s="33" t="s">
        <v>143</v>
      </c>
    </row>
    <row r="1668" spans="1:10" x14ac:dyDescent="0.25">
      <c r="A1668" t="s">
        <v>63</v>
      </c>
      <c r="B1668">
        <v>5</v>
      </c>
      <c r="C1668" t="s">
        <v>34</v>
      </c>
      <c r="D1668" t="s">
        <v>65</v>
      </c>
      <c r="E1668" s="2">
        <v>76</v>
      </c>
      <c r="F1668">
        <v>0</v>
      </c>
      <c r="G1668">
        <v>76</v>
      </c>
      <c r="H1668">
        <v>1.5</v>
      </c>
      <c r="I1668" t="s">
        <v>33</v>
      </c>
      <c r="J1668" s="33" t="s">
        <v>143</v>
      </c>
    </row>
    <row r="1669" spans="1:10" x14ac:dyDescent="0.25">
      <c r="A1669" t="s">
        <v>71</v>
      </c>
      <c r="B1669">
        <v>10</v>
      </c>
      <c r="C1669" t="s">
        <v>30</v>
      </c>
      <c r="D1669" t="s">
        <v>74</v>
      </c>
      <c r="E1669" s="2">
        <v>76</v>
      </c>
      <c r="F1669">
        <v>0</v>
      </c>
      <c r="G1669">
        <v>76</v>
      </c>
      <c r="H1669">
        <v>16.399999999999999</v>
      </c>
      <c r="I1669" t="s">
        <v>33</v>
      </c>
      <c r="J1669" s="33" t="s">
        <v>143</v>
      </c>
    </row>
    <row r="1670" spans="1:10" x14ac:dyDescent="0.25">
      <c r="A1670" t="s">
        <v>71</v>
      </c>
      <c r="B1670">
        <v>11</v>
      </c>
      <c r="C1670" t="s">
        <v>34</v>
      </c>
      <c r="D1670" t="s">
        <v>77</v>
      </c>
      <c r="E1670" s="2">
        <v>76</v>
      </c>
      <c r="F1670">
        <v>0</v>
      </c>
      <c r="G1670">
        <v>76</v>
      </c>
      <c r="H1670">
        <v>1.7</v>
      </c>
      <c r="I1670" t="s">
        <v>33</v>
      </c>
      <c r="J1670" s="33" t="s">
        <v>143</v>
      </c>
    </row>
    <row r="1671" spans="1:10" x14ac:dyDescent="0.25">
      <c r="A1671" t="s">
        <v>29</v>
      </c>
      <c r="B1671">
        <v>1</v>
      </c>
      <c r="C1671" t="s">
        <v>34</v>
      </c>
      <c r="D1671" t="s">
        <v>35</v>
      </c>
      <c r="E1671" s="2">
        <v>77</v>
      </c>
      <c r="F1671">
        <v>0</v>
      </c>
      <c r="G1671">
        <v>77</v>
      </c>
      <c r="H1671">
        <v>4.4000000000000004</v>
      </c>
      <c r="I1671" t="s">
        <v>33</v>
      </c>
      <c r="J1671" s="33" t="s">
        <v>143</v>
      </c>
    </row>
    <row r="1672" spans="1:10" x14ac:dyDescent="0.25">
      <c r="A1672" t="s">
        <v>29</v>
      </c>
      <c r="B1672">
        <v>3</v>
      </c>
      <c r="C1672" t="s">
        <v>34</v>
      </c>
      <c r="D1672" t="s">
        <v>39</v>
      </c>
      <c r="E1672" s="2">
        <v>77</v>
      </c>
      <c r="F1672">
        <v>0</v>
      </c>
      <c r="G1672">
        <v>77</v>
      </c>
      <c r="H1672">
        <v>10.1</v>
      </c>
      <c r="I1672" t="s">
        <v>33</v>
      </c>
      <c r="J1672" s="33" t="s">
        <v>143</v>
      </c>
    </row>
    <row r="1673" spans="1:10" x14ac:dyDescent="0.25">
      <c r="A1673" t="s">
        <v>42</v>
      </c>
      <c r="B1673">
        <v>1</v>
      </c>
      <c r="C1673" t="s">
        <v>34</v>
      </c>
      <c r="D1673" t="s">
        <v>44</v>
      </c>
      <c r="E1673" s="2">
        <v>77</v>
      </c>
      <c r="F1673">
        <v>0</v>
      </c>
      <c r="G1673">
        <v>77</v>
      </c>
      <c r="H1673">
        <v>8.5</v>
      </c>
      <c r="I1673" t="s">
        <v>33</v>
      </c>
      <c r="J1673" s="33" t="s">
        <v>143</v>
      </c>
    </row>
    <row r="1674" spans="1:10" x14ac:dyDescent="0.25">
      <c r="A1674" t="s">
        <v>42</v>
      </c>
      <c r="B1674">
        <v>1</v>
      </c>
      <c r="C1674" t="s">
        <v>34</v>
      </c>
      <c r="D1674" t="s">
        <v>44</v>
      </c>
      <c r="E1674" s="2">
        <v>77</v>
      </c>
      <c r="F1674">
        <v>0</v>
      </c>
      <c r="G1674">
        <v>77</v>
      </c>
      <c r="H1674">
        <v>5.5</v>
      </c>
      <c r="I1674" t="s">
        <v>33</v>
      </c>
      <c r="J1674" s="33" t="s">
        <v>143</v>
      </c>
    </row>
    <row r="1675" spans="1:10" x14ac:dyDescent="0.25">
      <c r="A1675" t="s">
        <v>42</v>
      </c>
      <c r="B1675">
        <v>1</v>
      </c>
      <c r="C1675" t="s">
        <v>34</v>
      </c>
      <c r="D1675" t="s">
        <v>44</v>
      </c>
      <c r="E1675" s="2">
        <v>77</v>
      </c>
      <c r="F1675">
        <v>0</v>
      </c>
      <c r="G1675">
        <v>77</v>
      </c>
      <c r="H1675">
        <v>19.5</v>
      </c>
      <c r="I1675" t="s">
        <v>33</v>
      </c>
      <c r="J1675" s="33" t="s">
        <v>143</v>
      </c>
    </row>
    <row r="1676" spans="1:10" x14ac:dyDescent="0.25">
      <c r="A1676" t="s">
        <v>42</v>
      </c>
      <c r="B1676">
        <v>5</v>
      </c>
      <c r="C1676" t="s">
        <v>30</v>
      </c>
      <c r="D1676" t="s">
        <v>47</v>
      </c>
      <c r="E1676" s="2">
        <v>77</v>
      </c>
      <c r="F1676">
        <v>0</v>
      </c>
      <c r="G1676">
        <v>77</v>
      </c>
      <c r="H1676">
        <v>8</v>
      </c>
      <c r="I1676" t="s">
        <v>33</v>
      </c>
      <c r="J1676" s="33" t="s">
        <v>143</v>
      </c>
    </row>
    <row r="1677" spans="1:10" x14ac:dyDescent="0.25">
      <c r="A1677" t="s">
        <v>42</v>
      </c>
      <c r="B1677">
        <v>3</v>
      </c>
      <c r="C1677" t="s">
        <v>34</v>
      </c>
      <c r="D1677" t="s">
        <v>50</v>
      </c>
      <c r="E1677" s="2">
        <v>77</v>
      </c>
      <c r="F1677">
        <v>0</v>
      </c>
      <c r="G1677">
        <v>77</v>
      </c>
      <c r="H1677">
        <v>5</v>
      </c>
      <c r="I1677" t="s">
        <v>33</v>
      </c>
      <c r="J1677" s="33" t="s">
        <v>143</v>
      </c>
    </row>
    <row r="1678" spans="1:10" x14ac:dyDescent="0.25">
      <c r="A1678" t="s">
        <v>54</v>
      </c>
      <c r="B1678">
        <v>1</v>
      </c>
      <c r="C1678" t="s">
        <v>30</v>
      </c>
      <c r="D1678" t="s">
        <v>55</v>
      </c>
      <c r="E1678" s="2">
        <v>77</v>
      </c>
      <c r="F1678">
        <v>0</v>
      </c>
      <c r="G1678">
        <v>77</v>
      </c>
      <c r="H1678">
        <v>1.7</v>
      </c>
      <c r="I1678" t="s">
        <v>33</v>
      </c>
      <c r="J1678" s="33" t="s">
        <v>143</v>
      </c>
    </row>
    <row r="1679" spans="1:10" x14ac:dyDescent="0.25">
      <c r="A1679" t="s">
        <v>63</v>
      </c>
      <c r="B1679">
        <v>5</v>
      </c>
      <c r="C1679" t="s">
        <v>34</v>
      </c>
      <c r="D1679" t="s">
        <v>65</v>
      </c>
      <c r="E1679" s="2">
        <v>77</v>
      </c>
      <c r="F1679">
        <v>0</v>
      </c>
      <c r="G1679">
        <v>77</v>
      </c>
      <c r="H1679">
        <v>2.8</v>
      </c>
      <c r="I1679" t="s">
        <v>33</v>
      </c>
      <c r="J1679" s="33" t="s">
        <v>143</v>
      </c>
    </row>
    <row r="1680" spans="1:10" x14ac:dyDescent="0.25">
      <c r="A1680" t="s">
        <v>42</v>
      </c>
      <c r="B1680">
        <v>3</v>
      </c>
      <c r="C1680" t="s">
        <v>30</v>
      </c>
      <c r="D1680" t="s">
        <v>49</v>
      </c>
      <c r="E1680" s="2">
        <v>78</v>
      </c>
      <c r="F1680">
        <v>0</v>
      </c>
      <c r="G1680">
        <v>78</v>
      </c>
      <c r="H1680">
        <v>0</v>
      </c>
      <c r="I1680" t="s">
        <v>32</v>
      </c>
      <c r="J1680" s="33" t="s">
        <v>143</v>
      </c>
    </row>
    <row r="1681" spans="1:10" x14ac:dyDescent="0.25">
      <c r="A1681" t="s">
        <v>42</v>
      </c>
      <c r="B1681">
        <v>3</v>
      </c>
      <c r="C1681" t="s">
        <v>34</v>
      </c>
      <c r="D1681" t="s">
        <v>50</v>
      </c>
      <c r="E1681" s="2">
        <v>78</v>
      </c>
      <c r="F1681">
        <v>0</v>
      </c>
      <c r="G1681">
        <v>78</v>
      </c>
      <c r="H1681">
        <v>9.1999999999999993</v>
      </c>
      <c r="I1681" t="s">
        <v>33</v>
      </c>
      <c r="J1681" s="33" t="s">
        <v>143</v>
      </c>
    </row>
    <row r="1682" spans="1:10" x14ac:dyDescent="0.25">
      <c r="A1682" t="s">
        <v>63</v>
      </c>
      <c r="B1682">
        <v>5</v>
      </c>
      <c r="C1682" t="s">
        <v>34</v>
      </c>
      <c r="D1682" t="s">
        <v>65</v>
      </c>
      <c r="E1682" s="2">
        <v>78</v>
      </c>
      <c r="F1682">
        <v>0</v>
      </c>
      <c r="G1682">
        <v>78</v>
      </c>
      <c r="H1682">
        <v>1.2</v>
      </c>
      <c r="I1682" t="s">
        <v>33</v>
      </c>
      <c r="J1682" s="33" t="s">
        <v>143</v>
      </c>
    </row>
    <row r="1683" spans="1:10" x14ac:dyDescent="0.25">
      <c r="A1683" t="s">
        <v>63</v>
      </c>
      <c r="B1683">
        <v>5</v>
      </c>
      <c r="C1683" t="s">
        <v>34</v>
      </c>
      <c r="D1683" t="s">
        <v>65</v>
      </c>
      <c r="E1683" s="2">
        <v>78</v>
      </c>
      <c r="F1683">
        <v>16</v>
      </c>
      <c r="G1683">
        <v>62</v>
      </c>
      <c r="H1683">
        <v>0</v>
      </c>
      <c r="I1683" t="s">
        <v>32</v>
      </c>
      <c r="J1683" s="33" t="s">
        <v>143</v>
      </c>
    </row>
    <row r="1684" spans="1:10" x14ac:dyDescent="0.25">
      <c r="A1684" t="s">
        <v>63</v>
      </c>
      <c r="B1684">
        <v>1</v>
      </c>
      <c r="C1684" t="s">
        <v>34</v>
      </c>
      <c r="D1684" t="s">
        <v>67</v>
      </c>
      <c r="E1684" s="2">
        <v>78</v>
      </c>
      <c r="F1684">
        <v>0</v>
      </c>
      <c r="G1684">
        <v>78</v>
      </c>
      <c r="H1684">
        <v>13.4</v>
      </c>
      <c r="I1684" t="s">
        <v>33</v>
      </c>
      <c r="J1684" s="33" t="s">
        <v>143</v>
      </c>
    </row>
    <row r="1685" spans="1:10" x14ac:dyDescent="0.25">
      <c r="A1685" t="s">
        <v>63</v>
      </c>
      <c r="B1685">
        <v>1</v>
      </c>
      <c r="C1685" t="s">
        <v>34</v>
      </c>
      <c r="D1685" t="s">
        <v>67</v>
      </c>
      <c r="E1685" s="2">
        <v>78</v>
      </c>
      <c r="F1685">
        <v>0</v>
      </c>
      <c r="G1685">
        <v>78</v>
      </c>
      <c r="H1685">
        <v>10.1</v>
      </c>
      <c r="I1685" t="s">
        <v>33</v>
      </c>
      <c r="J1685" s="33" t="s">
        <v>143</v>
      </c>
    </row>
    <row r="1686" spans="1:10" x14ac:dyDescent="0.25">
      <c r="A1686" t="s">
        <v>29</v>
      </c>
      <c r="B1686">
        <v>1</v>
      </c>
      <c r="C1686" t="s">
        <v>34</v>
      </c>
      <c r="D1686" t="s">
        <v>35</v>
      </c>
      <c r="E1686" s="2">
        <v>79</v>
      </c>
      <c r="F1686">
        <v>14</v>
      </c>
      <c r="G1686">
        <v>65</v>
      </c>
      <c r="H1686">
        <v>0</v>
      </c>
      <c r="I1686" t="s">
        <v>32</v>
      </c>
      <c r="J1686" s="33" t="s">
        <v>143</v>
      </c>
    </row>
    <row r="1687" spans="1:10" x14ac:dyDescent="0.25">
      <c r="A1687" t="s">
        <v>29</v>
      </c>
      <c r="B1687">
        <v>3</v>
      </c>
      <c r="C1687" t="s">
        <v>30</v>
      </c>
      <c r="D1687" t="s">
        <v>38</v>
      </c>
      <c r="E1687" s="2">
        <v>80</v>
      </c>
      <c r="F1687">
        <v>0</v>
      </c>
      <c r="G1687">
        <v>80</v>
      </c>
      <c r="H1687">
        <v>8.5</v>
      </c>
      <c r="I1687" t="s">
        <v>33</v>
      </c>
      <c r="J1687" s="33" t="s">
        <v>143</v>
      </c>
    </row>
    <row r="1688" spans="1:10" x14ac:dyDescent="0.25">
      <c r="A1688" t="s">
        <v>54</v>
      </c>
      <c r="B1688">
        <v>4</v>
      </c>
      <c r="C1688" t="s">
        <v>34</v>
      </c>
      <c r="D1688" t="s">
        <v>62</v>
      </c>
      <c r="E1688" s="2">
        <v>80</v>
      </c>
      <c r="F1688">
        <v>0</v>
      </c>
      <c r="G1688">
        <v>80</v>
      </c>
      <c r="H1688">
        <v>3.5</v>
      </c>
      <c r="I1688" t="s">
        <v>33</v>
      </c>
      <c r="J1688" s="33" t="s">
        <v>143</v>
      </c>
    </row>
    <row r="1689" spans="1:10" x14ac:dyDescent="0.25">
      <c r="A1689" t="s">
        <v>63</v>
      </c>
      <c r="B1689">
        <v>1</v>
      </c>
      <c r="C1689" t="s">
        <v>34</v>
      </c>
      <c r="D1689" t="s">
        <v>67</v>
      </c>
      <c r="E1689" s="2">
        <v>80</v>
      </c>
      <c r="F1689">
        <v>0</v>
      </c>
      <c r="G1689">
        <v>80</v>
      </c>
      <c r="H1689">
        <v>8</v>
      </c>
      <c r="I1689" t="s">
        <v>33</v>
      </c>
      <c r="J1689" s="33" t="s">
        <v>143</v>
      </c>
    </row>
    <row r="1690" spans="1:10" x14ac:dyDescent="0.25">
      <c r="A1690" t="s">
        <v>42</v>
      </c>
      <c r="B1690">
        <v>1</v>
      </c>
      <c r="C1690" t="s">
        <v>34</v>
      </c>
      <c r="D1690" t="s">
        <v>44</v>
      </c>
      <c r="E1690" s="2">
        <v>81</v>
      </c>
      <c r="F1690">
        <v>0</v>
      </c>
      <c r="G1690">
        <v>81</v>
      </c>
      <c r="H1690">
        <v>11</v>
      </c>
      <c r="I1690" t="s">
        <v>33</v>
      </c>
      <c r="J1690" s="33" t="s">
        <v>143</v>
      </c>
    </row>
    <row r="1691" spans="1:10" x14ac:dyDescent="0.25">
      <c r="A1691" t="s">
        <v>42</v>
      </c>
      <c r="B1691">
        <v>5</v>
      </c>
      <c r="C1691" t="s">
        <v>34</v>
      </c>
      <c r="D1691" t="s">
        <v>48</v>
      </c>
      <c r="E1691" s="2">
        <v>81</v>
      </c>
      <c r="F1691">
        <v>0</v>
      </c>
      <c r="G1691">
        <v>81</v>
      </c>
      <c r="H1691">
        <v>16.5</v>
      </c>
      <c r="I1691" t="s">
        <v>33</v>
      </c>
      <c r="J1691" s="33" t="s">
        <v>143</v>
      </c>
    </row>
    <row r="1692" spans="1:10" x14ac:dyDescent="0.25">
      <c r="A1692" t="s">
        <v>42</v>
      </c>
      <c r="B1692">
        <v>5</v>
      </c>
      <c r="C1692" t="s">
        <v>34</v>
      </c>
      <c r="D1692" t="s">
        <v>48</v>
      </c>
      <c r="E1692" s="2">
        <v>81</v>
      </c>
      <c r="F1692">
        <v>0</v>
      </c>
      <c r="G1692">
        <v>81</v>
      </c>
      <c r="H1692">
        <v>0.5</v>
      </c>
      <c r="I1692" t="s">
        <v>32</v>
      </c>
      <c r="J1692" s="33" t="s">
        <v>143</v>
      </c>
    </row>
    <row r="1693" spans="1:10" x14ac:dyDescent="0.25">
      <c r="A1693" t="s">
        <v>63</v>
      </c>
      <c r="B1693">
        <v>5</v>
      </c>
      <c r="C1693" t="s">
        <v>34</v>
      </c>
      <c r="D1693" t="s">
        <v>65</v>
      </c>
      <c r="E1693" s="2">
        <v>81</v>
      </c>
      <c r="F1693">
        <v>0</v>
      </c>
      <c r="G1693">
        <v>81</v>
      </c>
      <c r="H1693">
        <v>1.3</v>
      </c>
      <c r="I1693" t="s">
        <v>33</v>
      </c>
      <c r="J1693" s="33" t="s">
        <v>143</v>
      </c>
    </row>
    <row r="1694" spans="1:10" x14ac:dyDescent="0.25">
      <c r="A1694" t="s">
        <v>63</v>
      </c>
      <c r="B1694">
        <v>1</v>
      </c>
      <c r="C1694" t="s">
        <v>34</v>
      </c>
      <c r="D1694" t="s">
        <v>67</v>
      </c>
      <c r="E1694" s="2">
        <v>81</v>
      </c>
      <c r="F1694">
        <v>0</v>
      </c>
      <c r="G1694">
        <v>81</v>
      </c>
      <c r="H1694">
        <v>10.6</v>
      </c>
      <c r="I1694" t="s">
        <v>33</v>
      </c>
      <c r="J1694" s="33" t="s">
        <v>143</v>
      </c>
    </row>
    <row r="1695" spans="1:10" x14ac:dyDescent="0.25">
      <c r="A1695" t="s">
        <v>68</v>
      </c>
      <c r="B1695">
        <v>6</v>
      </c>
      <c r="C1695" t="s">
        <v>34</v>
      </c>
      <c r="D1695" t="s">
        <v>70</v>
      </c>
      <c r="E1695" s="2">
        <v>81</v>
      </c>
      <c r="F1695">
        <v>0</v>
      </c>
      <c r="G1695">
        <v>81</v>
      </c>
      <c r="H1695">
        <v>2.4</v>
      </c>
      <c r="I1695" t="s">
        <v>33</v>
      </c>
      <c r="J1695" s="33" t="s">
        <v>143</v>
      </c>
    </row>
    <row r="1696" spans="1:10" x14ac:dyDescent="0.25">
      <c r="A1696" t="s">
        <v>29</v>
      </c>
      <c r="B1696">
        <v>2</v>
      </c>
      <c r="C1696" t="s">
        <v>34</v>
      </c>
      <c r="D1696" t="s">
        <v>37</v>
      </c>
      <c r="E1696" s="2">
        <v>82</v>
      </c>
      <c r="F1696">
        <v>0</v>
      </c>
      <c r="G1696">
        <v>82</v>
      </c>
      <c r="H1696">
        <v>6.2</v>
      </c>
      <c r="I1696" t="s">
        <v>33</v>
      </c>
      <c r="J1696" s="33" t="s">
        <v>143</v>
      </c>
    </row>
    <row r="1697" spans="1:10" x14ac:dyDescent="0.25">
      <c r="A1697" t="s">
        <v>42</v>
      </c>
      <c r="B1697">
        <v>2</v>
      </c>
      <c r="C1697" t="s">
        <v>34</v>
      </c>
      <c r="D1697" t="s">
        <v>46</v>
      </c>
      <c r="E1697" s="2">
        <v>82</v>
      </c>
      <c r="F1697">
        <v>0</v>
      </c>
      <c r="G1697">
        <v>82</v>
      </c>
      <c r="H1697">
        <v>5.8</v>
      </c>
      <c r="I1697" t="s">
        <v>33</v>
      </c>
      <c r="J1697" s="33" t="s">
        <v>143</v>
      </c>
    </row>
    <row r="1698" spans="1:10" x14ac:dyDescent="0.25">
      <c r="A1698" t="s">
        <v>42</v>
      </c>
      <c r="B1698">
        <v>5</v>
      </c>
      <c r="C1698" t="s">
        <v>34</v>
      </c>
      <c r="D1698" t="s">
        <v>48</v>
      </c>
      <c r="E1698" s="2">
        <v>82</v>
      </c>
      <c r="F1698">
        <v>0</v>
      </c>
      <c r="G1698">
        <v>82</v>
      </c>
      <c r="H1698">
        <v>9.6</v>
      </c>
      <c r="I1698" t="s">
        <v>33</v>
      </c>
      <c r="J1698" s="33" t="s">
        <v>143</v>
      </c>
    </row>
    <row r="1699" spans="1:10" x14ac:dyDescent="0.25">
      <c r="A1699" t="s">
        <v>52</v>
      </c>
      <c r="B1699">
        <v>4</v>
      </c>
      <c r="C1699" t="s">
        <v>34</v>
      </c>
      <c r="D1699" t="s">
        <v>53</v>
      </c>
      <c r="E1699" s="2">
        <v>82</v>
      </c>
      <c r="F1699">
        <v>0</v>
      </c>
      <c r="G1699">
        <v>82</v>
      </c>
      <c r="H1699">
        <v>15.2</v>
      </c>
      <c r="I1699" t="s">
        <v>33</v>
      </c>
      <c r="J1699" s="33" t="s">
        <v>143</v>
      </c>
    </row>
    <row r="1700" spans="1:10" x14ac:dyDescent="0.25">
      <c r="A1700" t="s">
        <v>63</v>
      </c>
      <c r="B1700">
        <v>5</v>
      </c>
      <c r="C1700" t="s">
        <v>34</v>
      </c>
      <c r="D1700" t="s">
        <v>65</v>
      </c>
      <c r="E1700" s="2">
        <v>82</v>
      </c>
      <c r="F1700">
        <v>0</v>
      </c>
      <c r="G1700">
        <v>82</v>
      </c>
      <c r="H1700">
        <v>1.6</v>
      </c>
      <c r="I1700" t="s">
        <v>33</v>
      </c>
      <c r="J1700" s="33" t="s">
        <v>143</v>
      </c>
    </row>
    <row r="1701" spans="1:10" x14ac:dyDescent="0.25">
      <c r="A1701" t="s">
        <v>71</v>
      </c>
      <c r="B1701">
        <v>11</v>
      </c>
      <c r="C1701" t="s">
        <v>30</v>
      </c>
      <c r="D1701" t="s">
        <v>76</v>
      </c>
      <c r="E1701" s="2">
        <v>82</v>
      </c>
      <c r="F1701">
        <v>0</v>
      </c>
      <c r="G1701">
        <v>82</v>
      </c>
      <c r="H1701">
        <v>1.3</v>
      </c>
      <c r="I1701" t="s">
        <v>33</v>
      </c>
      <c r="J1701" s="33" t="s">
        <v>143</v>
      </c>
    </row>
    <row r="1702" spans="1:10" x14ac:dyDescent="0.25">
      <c r="A1702" t="s">
        <v>42</v>
      </c>
      <c r="B1702">
        <v>2</v>
      </c>
      <c r="C1702" t="s">
        <v>34</v>
      </c>
      <c r="D1702" t="s">
        <v>46</v>
      </c>
      <c r="E1702" s="2">
        <v>83</v>
      </c>
      <c r="F1702">
        <v>0</v>
      </c>
      <c r="G1702">
        <v>83</v>
      </c>
      <c r="H1702">
        <v>5.4</v>
      </c>
      <c r="I1702" t="s">
        <v>33</v>
      </c>
      <c r="J1702" s="33" t="s">
        <v>143</v>
      </c>
    </row>
    <row r="1703" spans="1:10" x14ac:dyDescent="0.25">
      <c r="A1703" t="s">
        <v>42</v>
      </c>
      <c r="B1703">
        <v>5</v>
      </c>
      <c r="C1703" t="s">
        <v>34</v>
      </c>
      <c r="D1703" t="s">
        <v>48</v>
      </c>
      <c r="E1703" s="2">
        <v>83</v>
      </c>
      <c r="F1703">
        <v>0</v>
      </c>
      <c r="G1703">
        <v>83</v>
      </c>
      <c r="H1703">
        <v>9.5</v>
      </c>
      <c r="I1703" t="s">
        <v>33</v>
      </c>
      <c r="J1703" s="33" t="s">
        <v>143</v>
      </c>
    </row>
    <row r="1704" spans="1:10" x14ac:dyDescent="0.25">
      <c r="A1704" t="s">
        <v>42</v>
      </c>
      <c r="B1704">
        <v>3</v>
      </c>
      <c r="C1704" t="s">
        <v>34</v>
      </c>
      <c r="D1704" t="s">
        <v>50</v>
      </c>
      <c r="E1704" s="2">
        <v>83</v>
      </c>
      <c r="F1704">
        <v>0</v>
      </c>
      <c r="G1704">
        <v>83</v>
      </c>
      <c r="H1704">
        <v>5.2</v>
      </c>
      <c r="I1704" t="s">
        <v>33</v>
      </c>
      <c r="J1704" s="33" t="s">
        <v>143</v>
      </c>
    </row>
    <row r="1705" spans="1:10" x14ac:dyDescent="0.25">
      <c r="A1705" t="s">
        <v>52</v>
      </c>
      <c r="B1705">
        <v>4</v>
      </c>
      <c r="C1705" t="s">
        <v>34</v>
      </c>
      <c r="D1705" t="s">
        <v>53</v>
      </c>
      <c r="E1705" s="2">
        <v>83</v>
      </c>
      <c r="F1705">
        <v>0</v>
      </c>
      <c r="G1705">
        <v>83</v>
      </c>
      <c r="H1705">
        <v>8.6999999999999993</v>
      </c>
      <c r="I1705" t="s">
        <v>33</v>
      </c>
      <c r="J1705" s="33" t="s">
        <v>143</v>
      </c>
    </row>
    <row r="1706" spans="1:10" x14ac:dyDescent="0.25">
      <c r="A1706" t="s">
        <v>71</v>
      </c>
      <c r="B1706">
        <v>10</v>
      </c>
      <c r="C1706" t="s">
        <v>30</v>
      </c>
      <c r="D1706" t="s">
        <v>74</v>
      </c>
      <c r="E1706" s="2">
        <v>83</v>
      </c>
      <c r="F1706">
        <v>0</v>
      </c>
      <c r="G1706">
        <v>83</v>
      </c>
      <c r="H1706">
        <v>14</v>
      </c>
      <c r="I1706" t="s">
        <v>33</v>
      </c>
      <c r="J1706" s="33" t="s">
        <v>143</v>
      </c>
    </row>
    <row r="1707" spans="1:10" x14ac:dyDescent="0.25">
      <c r="A1707" t="s">
        <v>29</v>
      </c>
      <c r="B1707">
        <v>1</v>
      </c>
      <c r="C1707" t="s">
        <v>30</v>
      </c>
      <c r="D1707" t="s">
        <v>31</v>
      </c>
      <c r="E1707" s="2">
        <v>84</v>
      </c>
      <c r="F1707">
        <v>0</v>
      </c>
      <c r="G1707">
        <v>84</v>
      </c>
      <c r="H1707">
        <v>16</v>
      </c>
      <c r="I1707" t="s">
        <v>33</v>
      </c>
      <c r="J1707" s="33" t="s">
        <v>143</v>
      </c>
    </row>
    <row r="1708" spans="1:10" x14ac:dyDescent="0.25">
      <c r="A1708" t="s">
        <v>29</v>
      </c>
      <c r="B1708">
        <v>2</v>
      </c>
      <c r="C1708" t="s">
        <v>34</v>
      </c>
      <c r="D1708" t="s">
        <v>37</v>
      </c>
      <c r="E1708" s="2">
        <v>84</v>
      </c>
      <c r="F1708">
        <v>0</v>
      </c>
      <c r="G1708">
        <v>84</v>
      </c>
      <c r="H1708">
        <v>6.7</v>
      </c>
      <c r="I1708" t="s">
        <v>33</v>
      </c>
      <c r="J1708" s="33" t="s">
        <v>143</v>
      </c>
    </row>
    <row r="1709" spans="1:10" x14ac:dyDescent="0.25">
      <c r="A1709" t="s">
        <v>52</v>
      </c>
      <c r="B1709">
        <v>4</v>
      </c>
      <c r="C1709" t="s">
        <v>34</v>
      </c>
      <c r="D1709" t="s">
        <v>53</v>
      </c>
      <c r="E1709" s="2">
        <v>84</v>
      </c>
      <c r="F1709">
        <v>0</v>
      </c>
      <c r="G1709">
        <v>84</v>
      </c>
      <c r="H1709">
        <v>5.3</v>
      </c>
      <c r="I1709" t="s">
        <v>33</v>
      </c>
      <c r="J1709" s="33" t="s">
        <v>143</v>
      </c>
    </row>
    <row r="1710" spans="1:10" x14ac:dyDescent="0.25">
      <c r="A1710" t="s">
        <v>29</v>
      </c>
      <c r="B1710">
        <v>1</v>
      </c>
      <c r="C1710" t="s">
        <v>30</v>
      </c>
      <c r="D1710" t="s">
        <v>31</v>
      </c>
      <c r="E1710" s="2">
        <v>85</v>
      </c>
      <c r="F1710">
        <v>0</v>
      </c>
      <c r="G1710">
        <v>85</v>
      </c>
      <c r="H1710">
        <v>12</v>
      </c>
      <c r="I1710" t="s">
        <v>33</v>
      </c>
      <c r="J1710" s="33" t="s">
        <v>143</v>
      </c>
    </row>
    <row r="1711" spans="1:10" x14ac:dyDescent="0.25">
      <c r="A1711" t="s">
        <v>29</v>
      </c>
      <c r="B1711">
        <v>4</v>
      </c>
      <c r="C1711" t="s">
        <v>30</v>
      </c>
      <c r="D1711" t="s">
        <v>40</v>
      </c>
      <c r="E1711" s="2">
        <v>85</v>
      </c>
      <c r="F1711">
        <v>0</v>
      </c>
      <c r="G1711">
        <v>85</v>
      </c>
      <c r="H1711">
        <v>9</v>
      </c>
      <c r="I1711" t="s">
        <v>33</v>
      </c>
      <c r="J1711" s="33" t="s">
        <v>143</v>
      </c>
    </row>
    <row r="1712" spans="1:10" x14ac:dyDescent="0.25">
      <c r="A1712" t="s">
        <v>54</v>
      </c>
      <c r="B1712">
        <v>4</v>
      </c>
      <c r="C1712" t="s">
        <v>30</v>
      </c>
      <c r="D1712" t="s">
        <v>61</v>
      </c>
      <c r="E1712" s="2">
        <v>85</v>
      </c>
      <c r="F1712">
        <v>0</v>
      </c>
      <c r="G1712">
        <v>85</v>
      </c>
      <c r="H1712">
        <v>1.5</v>
      </c>
      <c r="I1712" t="s">
        <v>33</v>
      </c>
      <c r="J1712" s="33" t="s">
        <v>143</v>
      </c>
    </row>
    <row r="1713" spans="1:10" x14ac:dyDescent="0.25">
      <c r="A1713" t="s">
        <v>68</v>
      </c>
      <c r="B1713">
        <v>6</v>
      </c>
      <c r="C1713" t="s">
        <v>34</v>
      </c>
      <c r="D1713" t="s">
        <v>70</v>
      </c>
      <c r="E1713" s="2">
        <v>85</v>
      </c>
      <c r="F1713">
        <v>0</v>
      </c>
      <c r="G1713">
        <v>85</v>
      </c>
      <c r="H1713">
        <v>2.2999999999999998</v>
      </c>
      <c r="I1713" t="s">
        <v>33</v>
      </c>
      <c r="J1713" s="33" t="s">
        <v>143</v>
      </c>
    </row>
    <row r="1714" spans="1:10" x14ac:dyDescent="0.25">
      <c r="A1714" t="s">
        <v>42</v>
      </c>
      <c r="B1714">
        <v>5</v>
      </c>
      <c r="C1714" t="s">
        <v>34</v>
      </c>
      <c r="D1714" t="s">
        <v>48</v>
      </c>
      <c r="E1714" s="2">
        <v>86</v>
      </c>
      <c r="F1714">
        <v>0</v>
      </c>
      <c r="G1714">
        <v>86</v>
      </c>
      <c r="H1714">
        <v>13.9</v>
      </c>
      <c r="I1714" t="s">
        <v>33</v>
      </c>
      <c r="J1714" s="33" t="s">
        <v>143</v>
      </c>
    </row>
    <row r="1715" spans="1:10" x14ac:dyDescent="0.25">
      <c r="A1715" t="s">
        <v>42</v>
      </c>
      <c r="B1715">
        <v>4</v>
      </c>
      <c r="C1715" t="s">
        <v>30</v>
      </c>
      <c r="D1715" t="s">
        <v>51</v>
      </c>
      <c r="E1715" s="2">
        <v>86</v>
      </c>
      <c r="F1715">
        <v>0</v>
      </c>
      <c r="G1715">
        <v>86</v>
      </c>
      <c r="H1715">
        <v>7.2</v>
      </c>
      <c r="I1715" t="s">
        <v>33</v>
      </c>
      <c r="J1715" s="33" t="s">
        <v>143</v>
      </c>
    </row>
    <row r="1716" spans="1:10" x14ac:dyDescent="0.25">
      <c r="A1716" t="s">
        <v>63</v>
      </c>
      <c r="B1716">
        <v>1</v>
      </c>
      <c r="C1716" t="s">
        <v>34</v>
      </c>
      <c r="D1716" t="s">
        <v>67</v>
      </c>
      <c r="E1716" s="2">
        <v>86</v>
      </c>
      <c r="F1716">
        <v>0</v>
      </c>
      <c r="G1716">
        <v>86</v>
      </c>
      <c r="H1716">
        <v>7.2</v>
      </c>
      <c r="I1716" t="s">
        <v>33</v>
      </c>
      <c r="J1716" s="33" t="s">
        <v>143</v>
      </c>
    </row>
    <row r="1717" spans="1:10" x14ac:dyDescent="0.25">
      <c r="A1717" t="s">
        <v>71</v>
      </c>
      <c r="B1717">
        <v>8</v>
      </c>
      <c r="C1717" t="s">
        <v>30</v>
      </c>
      <c r="D1717" t="s">
        <v>72</v>
      </c>
      <c r="E1717" s="2">
        <v>86</v>
      </c>
      <c r="F1717">
        <v>0</v>
      </c>
      <c r="G1717">
        <v>86</v>
      </c>
      <c r="H1717">
        <v>1.3</v>
      </c>
      <c r="I1717" t="s">
        <v>33</v>
      </c>
      <c r="J1717" s="33" t="s">
        <v>143</v>
      </c>
    </row>
    <row r="1718" spans="1:10" x14ac:dyDescent="0.25">
      <c r="A1718" t="s">
        <v>29</v>
      </c>
      <c r="B1718">
        <v>1</v>
      </c>
      <c r="C1718" t="s">
        <v>34</v>
      </c>
      <c r="D1718" t="s">
        <v>35</v>
      </c>
      <c r="E1718" s="2">
        <v>87</v>
      </c>
      <c r="F1718">
        <v>0</v>
      </c>
      <c r="G1718">
        <v>87</v>
      </c>
      <c r="H1718">
        <v>1.3</v>
      </c>
      <c r="I1718" t="s">
        <v>33</v>
      </c>
      <c r="J1718" s="33" t="s">
        <v>143</v>
      </c>
    </row>
    <row r="1719" spans="1:10" x14ac:dyDescent="0.25">
      <c r="A1719" t="s">
        <v>42</v>
      </c>
      <c r="B1719">
        <v>2</v>
      </c>
      <c r="C1719" t="s">
        <v>34</v>
      </c>
      <c r="D1719" t="s">
        <v>46</v>
      </c>
      <c r="E1719" s="2">
        <v>87</v>
      </c>
      <c r="F1719">
        <v>8</v>
      </c>
      <c r="G1719">
        <v>79</v>
      </c>
      <c r="H1719">
        <v>1</v>
      </c>
      <c r="I1719" t="s">
        <v>33</v>
      </c>
      <c r="J1719" s="33" t="s">
        <v>143</v>
      </c>
    </row>
    <row r="1720" spans="1:10" x14ac:dyDescent="0.25">
      <c r="A1720" t="s">
        <v>42</v>
      </c>
      <c r="B1720">
        <v>2</v>
      </c>
      <c r="C1720" t="s">
        <v>34</v>
      </c>
      <c r="D1720" t="s">
        <v>46</v>
      </c>
      <c r="E1720" s="2">
        <v>87</v>
      </c>
      <c r="F1720">
        <v>0</v>
      </c>
      <c r="G1720">
        <v>87</v>
      </c>
      <c r="H1720">
        <v>8.3000000000000007</v>
      </c>
      <c r="I1720" t="s">
        <v>33</v>
      </c>
      <c r="J1720" s="33" t="s">
        <v>143</v>
      </c>
    </row>
    <row r="1721" spans="1:10" x14ac:dyDescent="0.25">
      <c r="A1721" t="s">
        <v>42</v>
      </c>
      <c r="B1721">
        <v>5</v>
      </c>
      <c r="C1721" t="s">
        <v>34</v>
      </c>
      <c r="D1721" t="s">
        <v>48</v>
      </c>
      <c r="E1721" s="2">
        <v>87</v>
      </c>
      <c r="F1721">
        <v>0</v>
      </c>
      <c r="G1721">
        <v>87</v>
      </c>
      <c r="H1721">
        <v>2.5</v>
      </c>
      <c r="I1721" t="s">
        <v>33</v>
      </c>
      <c r="J1721" s="33" t="s">
        <v>143</v>
      </c>
    </row>
    <row r="1722" spans="1:10" x14ac:dyDescent="0.25">
      <c r="A1722" t="s">
        <v>52</v>
      </c>
      <c r="B1722">
        <v>4</v>
      </c>
      <c r="C1722" t="s">
        <v>34</v>
      </c>
      <c r="D1722" t="s">
        <v>53</v>
      </c>
      <c r="E1722" s="2">
        <v>87</v>
      </c>
      <c r="F1722">
        <v>0</v>
      </c>
      <c r="G1722">
        <v>87</v>
      </c>
      <c r="H1722">
        <v>18.2</v>
      </c>
      <c r="I1722" t="s">
        <v>33</v>
      </c>
      <c r="J1722" s="33" t="s">
        <v>143</v>
      </c>
    </row>
    <row r="1723" spans="1:10" x14ac:dyDescent="0.25">
      <c r="A1723" t="s">
        <v>54</v>
      </c>
      <c r="B1723">
        <v>4</v>
      </c>
      <c r="C1723" t="s">
        <v>34</v>
      </c>
      <c r="D1723" t="s">
        <v>62</v>
      </c>
      <c r="E1723" s="2">
        <v>87</v>
      </c>
      <c r="F1723">
        <v>0</v>
      </c>
      <c r="G1723">
        <v>87</v>
      </c>
      <c r="H1723">
        <v>1.5</v>
      </c>
      <c r="I1723" t="s">
        <v>33</v>
      </c>
      <c r="J1723" s="33" t="s">
        <v>143</v>
      </c>
    </row>
    <row r="1724" spans="1:10" x14ac:dyDescent="0.25">
      <c r="A1724" t="s">
        <v>63</v>
      </c>
      <c r="B1724">
        <v>1</v>
      </c>
      <c r="C1724" t="s">
        <v>34</v>
      </c>
      <c r="D1724" t="s">
        <v>67</v>
      </c>
      <c r="E1724" s="2">
        <v>87</v>
      </c>
      <c r="F1724">
        <v>0</v>
      </c>
      <c r="G1724">
        <v>87</v>
      </c>
      <c r="H1724">
        <v>16</v>
      </c>
      <c r="I1724" t="s">
        <v>33</v>
      </c>
      <c r="J1724" s="33" t="s">
        <v>143</v>
      </c>
    </row>
    <row r="1725" spans="1:10" x14ac:dyDescent="0.25">
      <c r="A1725" t="s">
        <v>68</v>
      </c>
      <c r="B1725">
        <v>6</v>
      </c>
      <c r="C1725" t="s">
        <v>30</v>
      </c>
      <c r="D1725" t="s">
        <v>69</v>
      </c>
      <c r="E1725" s="2">
        <v>87</v>
      </c>
      <c r="F1725">
        <v>3</v>
      </c>
      <c r="G1725">
        <v>84</v>
      </c>
      <c r="H1725">
        <v>0.6</v>
      </c>
      <c r="I1725" t="s">
        <v>32</v>
      </c>
      <c r="J1725" s="33" t="s">
        <v>143</v>
      </c>
    </row>
    <row r="1726" spans="1:10" x14ac:dyDescent="0.25">
      <c r="A1726" t="s">
        <v>68</v>
      </c>
      <c r="B1726">
        <v>6</v>
      </c>
      <c r="C1726" t="s">
        <v>34</v>
      </c>
      <c r="D1726" t="s">
        <v>70</v>
      </c>
      <c r="E1726" s="2">
        <v>87</v>
      </c>
      <c r="F1726">
        <v>0</v>
      </c>
      <c r="G1726">
        <v>87</v>
      </c>
      <c r="H1726">
        <v>1.7</v>
      </c>
      <c r="I1726" t="s">
        <v>33</v>
      </c>
      <c r="J1726" s="33" t="s">
        <v>143</v>
      </c>
    </row>
    <row r="1727" spans="1:10" x14ac:dyDescent="0.25">
      <c r="A1727" t="s">
        <v>68</v>
      </c>
      <c r="B1727">
        <v>6</v>
      </c>
      <c r="C1727" t="s">
        <v>34</v>
      </c>
      <c r="D1727" t="s">
        <v>70</v>
      </c>
      <c r="E1727" s="2">
        <v>87</v>
      </c>
      <c r="F1727">
        <v>0</v>
      </c>
      <c r="G1727">
        <v>87</v>
      </c>
      <c r="H1727">
        <v>0.1</v>
      </c>
      <c r="I1727" t="s">
        <v>32</v>
      </c>
      <c r="J1727" s="33" t="s">
        <v>143</v>
      </c>
    </row>
    <row r="1728" spans="1:10" x14ac:dyDescent="0.25">
      <c r="A1728" t="s">
        <v>71</v>
      </c>
      <c r="B1728">
        <v>10</v>
      </c>
      <c r="C1728" t="s">
        <v>34</v>
      </c>
      <c r="D1728" t="s">
        <v>75</v>
      </c>
      <c r="E1728" s="2">
        <v>87</v>
      </c>
      <c r="F1728">
        <v>0</v>
      </c>
      <c r="G1728">
        <v>87</v>
      </c>
      <c r="H1728">
        <v>2.6</v>
      </c>
      <c r="I1728" t="s">
        <v>33</v>
      </c>
      <c r="J1728" s="33" t="s">
        <v>143</v>
      </c>
    </row>
    <row r="1729" spans="1:10" x14ac:dyDescent="0.25">
      <c r="A1729" t="s">
        <v>71</v>
      </c>
      <c r="B1729">
        <v>11</v>
      </c>
      <c r="C1729" t="s">
        <v>34</v>
      </c>
      <c r="D1729" t="s">
        <v>77</v>
      </c>
      <c r="E1729" s="2">
        <v>87</v>
      </c>
      <c r="F1729">
        <v>0</v>
      </c>
      <c r="G1729">
        <v>87</v>
      </c>
      <c r="H1729">
        <v>0.3</v>
      </c>
      <c r="I1729" t="s">
        <v>32</v>
      </c>
      <c r="J1729" s="33" t="s">
        <v>143</v>
      </c>
    </row>
    <row r="1730" spans="1:10" x14ac:dyDescent="0.25">
      <c r="A1730" t="s">
        <v>29</v>
      </c>
      <c r="B1730">
        <v>1</v>
      </c>
      <c r="C1730" t="s">
        <v>30</v>
      </c>
      <c r="D1730" t="s">
        <v>31</v>
      </c>
      <c r="E1730" s="2">
        <v>88</v>
      </c>
      <c r="F1730">
        <v>0</v>
      </c>
      <c r="G1730">
        <v>88</v>
      </c>
      <c r="H1730">
        <v>12.1</v>
      </c>
      <c r="I1730" t="s">
        <v>33</v>
      </c>
      <c r="J1730" s="33" t="s">
        <v>143</v>
      </c>
    </row>
    <row r="1731" spans="1:10" x14ac:dyDescent="0.25">
      <c r="A1731" t="s">
        <v>42</v>
      </c>
      <c r="B1731">
        <v>1</v>
      </c>
      <c r="C1731" t="s">
        <v>34</v>
      </c>
      <c r="D1731" t="s">
        <v>44</v>
      </c>
      <c r="E1731" s="2">
        <v>88</v>
      </c>
      <c r="F1731">
        <v>0</v>
      </c>
      <c r="G1731">
        <v>88</v>
      </c>
      <c r="H1731">
        <v>5.9</v>
      </c>
      <c r="I1731" t="s">
        <v>33</v>
      </c>
      <c r="J1731" s="33" t="s">
        <v>143</v>
      </c>
    </row>
    <row r="1732" spans="1:10" x14ac:dyDescent="0.25">
      <c r="A1732" t="s">
        <v>42</v>
      </c>
      <c r="B1732">
        <v>1</v>
      </c>
      <c r="C1732" t="s">
        <v>34</v>
      </c>
      <c r="D1732" t="s">
        <v>44</v>
      </c>
      <c r="E1732" s="2">
        <v>88</v>
      </c>
      <c r="F1732">
        <v>0</v>
      </c>
      <c r="G1732">
        <v>88</v>
      </c>
      <c r="H1732">
        <v>7.2</v>
      </c>
      <c r="I1732" t="s">
        <v>33</v>
      </c>
      <c r="J1732" s="33" t="s">
        <v>143</v>
      </c>
    </row>
    <row r="1733" spans="1:10" x14ac:dyDescent="0.25">
      <c r="A1733" t="s">
        <v>42</v>
      </c>
      <c r="B1733">
        <v>5</v>
      </c>
      <c r="C1733" t="s">
        <v>30</v>
      </c>
      <c r="D1733" t="s">
        <v>47</v>
      </c>
      <c r="E1733" s="2">
        <v>88</v>
      </c>
      <c r="F1733">
        <v>0</v>
      </c>
      <c r="G1733">
        <v>88</v>
      </c>
      <c r="H1733">
        <v>10</v>
      </c>
      <c r="I1733" t="s">
        <v>33</v>
      </c>
      <c r="J1733" s="33" t="s">
        <v>143</v>
      </c>
    </row>
    <row r="1734" spans="1:10" x14ac:dyDescent="0.25">
      <c r="A1734" t="s">
        <v>42</v>
      </c>
      <c r="B1734">
        <v>3</v>
      </c>
      <c r="C1734" t="s">
        <v>34</v>
      </c>
      <c r="D1734" t="s">
        <v>50</v>
      </c>
      <c r="E1734" s="2">
        <v>88</v>
      </c>
      <c r="F1734">
        <v>0</v>
      </c>
      <c r="G1734">
        <v>88</v>
      </c>
      <c r="H1734">
        <v>7.5</v>
      </c>
      <c r="I1734" t="s">
        <v>33</v>
      </c>
      <c r="J1734" s="33" t="s">
        <v>143</v>
      </c>
    </row>
    <row r="1735" spans="1:10" x14ac:dyDescent="0.25">
      <c r="A1735" t="s">
        <v>54</v>
      </c>
      <c r="B1735">
        <v>4</v>
      </c>
      <c r="C1735" t="s">
        <v>30</v>
      </c>
      <c r="D1735" t="s">
        <v>61</v>
      </c>
      <c r="E1735" s="2">
        <v>88</v>
      </c>
      <c r="F1735">
        <v>0</v>
      </c>
      <c r="G1735">
        <v>88</v>
      </c>
      <c r="H1735">
        <v>1.1000000000000001</v>
      </c>
      <c r="I1735" t="s">
        <v>33</v>
      </c>
      <c r="J1735" s="33" t="s">
        <v>143</v>
      </c>
    </row>
    <row r="1736" spans="1:10" x14ac:dyDescent="0.25">
      <c r="A1736" t="s">
        <v>54</v>
      </c>
      <c r="B1736">
        <v>4</v>
      </c>
      <c r="C1736" t="s">
        <v>34</v>
      </c>
      <c r="D1736" t="s">
        <v>62</v>
      </c>
      <c r="E1736" s="2">
        <v>88</v>
      </c>
      <c r="F1736">
        <v>14</v>
      </c>
      <c r="G1736">
        <v>74</v>
      </c>
      <c r="H1736">
        <v>0</v>
      </c>
      <c r="I1736" t="s">
        <v>32</v>
      </c>
      <c r="J1736" s="33" t="s">
        <v>143</v>
      </c>
    </row>
    <row r="1737" spans="1:10" x14ac:dyDescent="0.25">
      <c r="A1737" t="s">
        <v>63</v>
      </c>
      <c r="B1737">
        <v>1</v>
      </c>
      <c r="C1737" t="s">
        <v>34</v>
      </c>
      <c r="D1737" t="s">
        <v>67</v>
      </c>
      <c r="E1737" s="2">
        <v>89</v>
      </c>
      <c r="F1737">
        <v>0</v>
      </c>
      <c r="G1737">
        <v>89</v>
      </c>
      <c r="H1737">
        <v>6.2</v>
      </c>
      <c r="I1737" t="s">
        <v>33</v>
      </c>
      <c r="J1737" s="33" t="s">
        <v>143</v>
      </c>
    </row>
    <row r="1738" spans="1:10" x14ac:dyDescent="0.25">
      <c r="A1738" t="s">
        <v>71</v>
      </c>
      <c r="B1738">
        <v>11</v>
      </c>
      <c r="C1738" t="s">
        <v>30</v>
      </c>
      <c r="D1738" t="s">
        <v>76</v>
      </c>
      <c r="E1738" s="2">
        <v>89</v>
      </c>
      <c r="F1738">
        <v>0</v>
      </c>
      <c r="G1738">
        <v>89</v>
      </c>
      <c r="H1738">
        <v>1.2</v>
      </c>
      <c r="I1738" t="s">
        <v>33</v>
      </c>
      <c r="J1738" s="33" t="s">
        <v>143</v>
      </c>
    </row>
    <row r="1739" spans="1:10" x14ac:dyDescent="0.25">
      <c r="A1739" t="s">
        <v>42</v>
      </c>
      <c r="B1739">
        <v>1</v>
      </c>
      <c r="C1739" t="s">
        <v>34</v>
      </c>
      <c r="D1739" t="s">
        <v>44</v>
      </c>
      <c r="E1739" s="2">
        <v>90</v>
      </c>
      <c r="F1739">
        <v>0</v>
      </c>
      <c r="G1739">
        <v>90</v>
      </c>
      <c r="H1739">
        <v>11.7</v>
      </c>
      <c r="I1739" t="s">
        <v>33</v>
      </c>
      <c r="J1739" s="33" t="s">
        <v>143</v>
      </c>
    </row>
    <row r="1740" spans="1:10" x14ac:dyDescent="0.25">
      <c r="A1740" t="s">
        <v>42</v>
      </c>
      <c r="B1740">
        <v>3</v>
      </c>
      <c r="C1740" t="s">
        <v>34</v>
      </c>
      <c r="D1740" t="s">
        <v>50</v>
      </c>
      <c r="E1740" s="2">
        <v>90</v>
      </c>
      <c r="F1740">
        <v>0</v>
      </c>
      <c r="G1740">
        <v>90</v>
      </c>
      <c r="H1740">
        <v>1.7</v>
      </c>
      <c r="I1740" t="s">
        <v>33</v>
      </c>
      <c r="J1740" s="33" t="s">
        <v>143</v>
      </c>
    </row>
    <row r="1741" spans="1:10" x14ac:dyDescent="0.25">
      <c r="A1741" t="s">
        <v>54</v>
      </c>
      <c r="B1741">
        <v>4</v>
      </c>
      <c r="C1741" t="s">
        <v>34</v>
      </c>
      <c r="D1741" t="s">
        <v>62</v>
      </c>
      <c r="E1741" s="2">
        <v>90</v>
      </c>
      <c r="F1741">
        <v>0</v>
      </c>
      <c r="G1741">
        <v>90</v>
      </c>
      <c r="H1741">
        <v>1.5</v>
      </c>
      <c r="I1741" t="s">
        <v>33</v>
      </c>
      <c r="J1741" s="33" t="s">
        <v>143</v>
      </c>
    </row>
    <row r="1742" spans="1:10" x14ac:dyDescent="0.25">
      <c r="A1742" t="s">
        <v>29</v>
      </c>
      <c r="B1742">
        <v>2</v>
      </c>
      <c r="C1742" t="s">
        <v>30</v>
      </c>
      <c r="D1742" t="s">
        <v>36</v>
      </c>
      <c r="E1742" s="2">
        <v>91</v>
      </c>
      <c r="F1742">
        <v>6</v>
      </c>
      <c r="G1742">
        <v>85</v>
      </c>
      <c r="H1742">
        <v>0.2</v>
      </c>
      <c r="I1742" t="s">
        <v>32</v>
      </c>
      <c r="J1742" s="33" t="s">
        <v>143</v>
      </c>
    </row>
    <row r="1743" spans="1:10" x14ac:dyDescent="0.25">
      <c r="A1743" t="s">
        <v>42</v>
      </c>
      <c r="B1743">
        <v>2</v>
      </c>
      <c r="C1743" t="s">
        <v>34</v>
      </c>
      <c r="D1743" t="s">
        <v>46</v>
      </c>
      <c r="E1743" s="2">
        <v>91</v>
      </c>
      <c r="F1743">
        <v>0</v>
      </c>
      <c r="G1743">
        <v>91</v>
      </c>
      <c r="H1743">
        <v>14.1</v>
      </c>
      <c r="I1743" t="s">
        <v>33</v>
      </c>
      <c r="J1743" s="33" t="s">
        <v>143</v>
      </c>
    </row>
    <row r="1744" spans="1:10" x14ac:dyDescent="0.25">
      <c r="A1744" t="s">
        <v>42</v>
      </c>
      <c r="B1744">
        <v>2</v>
      </c>
      <c r="C1744" t="s">
        <v>34</v>
      </c>
      <c r="D1744" t="s">
        <v>46</v>
      </c>
      <c r="E1744" s="2">
        <v>91</v>
      </c>
      <c r="F1744">
        <v>0</v>
      </c>
      <c r="G1744">
        <v>91</v>
      </c>
      <c r="H1744">
        <v>2.5</v>
      </c>
      <c r="I1744" t="s">
        <v>33</v>
      </c>
      <c r="J1744" s="33" t="s">
        <v>143</v>
      </c>
    </row>
    <row r="1745" spans="1:10" x14ac:dyDescent="0.25">
      <c r="A1745" t="s">
        <v>54</v>
      </c>
      <c r="B1745">
        <v>4</v>
      </c>
      <c r="C1745" t="s">
        <v>34</v>
      </c>
      <c r="D1745" t="s">
        <v>62</v>
      </c>
      <c r="E1745" s="2">
        <v>91</v>
      </c>
      <c r="F1745">
        <v>0</v>
      </c>
      <c r="G1745">
        <v>91</v>
      </c>
      <c r="H1745">
        <v>5.3</v>
      </c>
      <c r="I1745" t="s">
        <v>33</v>
      </c>
      <c r="J1745" s="33" t="s">
        <v>143</v>
      </c>
    </row>
    <row r="1746" spans="1:10" x14ac:dyDescent="0.25">
      <c r="A1746" t="s">
        <v>63</v>
      </c>
      <c r="B1746">
        <v>5</v>
      </c>
      <c r="C1746" t="s">
        <v>34</v>
      </c>
      <c r="D1746" t="s">
        <v>65</v>
      </c>
      <c r="E1746" s="2">
        <v>91</v>
      </c>
      <c r="F1746">
        <v>0</v>
      </c>
      <c r="G1746">
        <v>91</v>
      </c>
      <c r="H1746">
        <v>1.5</v>
      </c>
      <c r="I1746" t="s">
        <v>33</v>
      </c>
      <c r="J1746" s="33" t="s">
        <v>143</v>
      </c>
    </row>
    <row r="1747" spans="1:10" x14ac:dyDescent="0.25">
      <c r="A1747" t="s">
        <v>29</v>
      </c>
      <c r="B1747">
        <v>1</v>
      </c>
      <c r="C1747" t="s">
        <v>30</v>
      </c>
      <c r="D1747" t="s">
        <v>31</v>
      </c>
      <c r="E1747" s="2">
        <v>92</v>
      </c>
      <c r="F1747">
        <v>0</v>
      </c>
      <c r="G1747">
        <v>92</v>
      </c>
      <c r="H1747">
        <v>12.4</v>
      </c>
      <c r="I1747" t="s">
        <v>33</v>
      </c>
      <c r="J1747" s="33" t="s">
        <v>143</v>
      </c>
    </row>
    <row r="1748" spans="1:10" x14ac:dyDescent="0.25">
      <c r="A1748" t="s">
        <v>42</v>
      </c>
      <c r="B1748">
        <v>2</v>
      </c>
      <c r="C1748" t="s">
        <v>30</v>
      </c>
      <c r="D1748" t="s">
        <v>45</v>
      </c>
      <c r="E1748" s="2">
        <v>92</v>
      </c>
      <c r="F1748">
        <v>92</v>
      </c>
      <c r="G1748">
        <v>0</v>
      </c>
      <c r="H1748">
        <v>0</v>
      </c>
      <c r="I1748" t="s">
        <v>32</v>
      </c>
      <c r="J1748" s="33" t="s">
        <v>143</v>
      </c>
    </row>
    <row r="1749" spans="1:10" x14ac:dyDescent="0.25">
      <c r="A1749" t="s">
        <v>42</v>
      </c>
      <c r="B1749">
        <v>3</v>
      </c>
      <c r="C1749" t="s">
        <v>34</v>
      </c>
      <c r="D1749" t="s">
        <v>50</v>
      </c>
      <c r="E1749" s="2">
        <v>92</v>
      </c>
      <c r="F1749">
        <v>0</v>
      </c>
      <c r="G1749">
        <v>92</v>
      </c>
      <c r="H1749">
        <v>6.1</v>
      </c>
      <c r="I1749" t="s">
        <v>33</v>
      </c>
      <c r="J1749" s="33" t="s">
        <v>143</v>
      </c>
    </row>
    <row r="1750" spans="1:10" x14ac:dyDescent="0.25">
      <c r="A1750" t="s">
        <v>52</v>
      </c>
      <c r="B1750">
        <v>4</v>
      </c>
      <c r="C1750" t="s">
        <v>34</v>
      </c>
      <c r="D1750" t="s">
        <v>53</v>
      </c>
      <c r="E1750" s="2">
        <v>92</v>
      </c>
      <c r="F1750">
        <v>0</v>
      </c>
      <c r="G1750">
        <v>92</v>
      </c>
      <c r="H1750">
        <v>10.5</v>
      </c>
      <c r="I1750" t="s">
        <v>33</v>
      </c>
      <c r="J1750" s="33" t="s">
        <v>143</v>
      </c>
    </row>
    <row r="1751" spans="1:10" x14ac:dyDescent="0.25">
      <c r="A1751" t="s">
        <v>71</v>
      </c>
      <c r="B1751">
        <v>10</v>
      </c>
      <c r="C1751" t="s">
        <v>30</v>
      </c>
      <c r="D1751" t="s">
        <v>74</v>
      </c>
      <c r="E1751" s="2">
        <v>92</v>
      </c>
      <c r="F1751">
        <v>0</v>
      </c>
      <c r="G1751">
        <v>92</v>
      </c>
      <c r="H1751">
        <v>1.4</v>
      </c>
      <c r="I1751" t="s">
        <v>33</v>
      </c>
      <c r="J1751" s="33" t="s">
        <v>143</v>
      </c>
    </row>
    <row r="1752" spans="1:10" x14ac:dyDescent="0.25">
      <c r="A1752" t="s">
        <v>42</v>
      </c>
      <c r="B1752">
        <v>1</v>
      </c>
      <c r="C1752" t="s">
        <v>30</v>
      </c>
      <c r="D1752" t="s">
        <v>43</v>
      </c>
      <c r="E1752" s="2">
        <v>93</v>
      </c>
      <c r="F1752">
        <v>93</v>
      </c>
      <c r="G1752">
        <v>0</v>
      </c>
      <c r="H1752">
        <v>0</v>
      </c>
      <c r="I1752" t="s">
        <v>32</v>
      </c>
      <c r="J1752" s="33" t="s">
        <v>143</v>
      </c>
    </row>
    <row r="1753" spans="1:10" x14ac:dyDescent="0.25">
      <c r="A1753" t="s">
        <v>42</v>
      </c>
      <c r="B1753">
        <v>2</v>
      </c>
      <c r="C1753" t="s">
        <v>34</v>
      </c>
      <c r="D1753" t="s">
        <v>46</v>
      </c>
      <c r="E1753" s="2">
        <v>93</v>
      </c>
      <c r="F1753">
        <v>0</v>
      </c>
      <c r="G1753">
        <v>93</v>
      </c>
      <c r="H1753">
        <v>10.1</v>
      </c>
      <c r="I1753" t="s">
        <v>33</v>
      </c>
      <c r="J1753" s="33" t="s">
        <v>143</v>
      </c>
    </row>
    <row r="1754" spans="1:10" x14ac:dyDescent="0.25">
      <c r="A1754" t="s">
        <v>52</v>
      </c>
      <c r="B1754">
        <v>4</v>
      </c>
      <c r="C1754" t="s">
        <v>34</v>
      </c>
      <c r="D1754" t="s">
        <v>53</v>
      </c>
      <c r="E1754" s="2">
        <v>93</v>
      </c>
      <c r="F1754">
        <v>0</v>
      </c>
      <c r="G1754">
        <v>93</v>
      </c>
      <c r="H1754">
        <v>8.1</v>
      </c>
      <c r="I1754" t="s">
        <v>33</v>
      </c>
      <c r="J1754" s="33" t="s">
        <v>143</v>
      </c>
    </row>
    <row r="1755" spans="1:10" x14ac:dyDescent="0.25">
      <c r="A1755" t="s">
        <v>63</v>
      </c>
      <c r="B1755">
        <v>1</v>
      </c>
      <c r="C1755" t="s">
        <v>34</v>
      </c>
      <c r="D1755" t="s">
        <v>67</v>
      </c>
      <c r="E1755" s="2">
        <v>93</v>
      </c>
      <c r="F1755">
        <v>0</v>
      </c>
      <c r="G1755">
        <v>93</v>
      </c>
      <c r="H1755">
        <v>22.5</v>
      </c>
      <c r="I1755" t="s">
        <v>33</v>
      </c>
      <c r="J1755" s="33" t="s">
        <v>143</v>
      </c>
    </row>
    <row r="1756" spans="1:10" x14ac:dyDescent="0.25">
      <c r="A1756" t="s">
        <v>42</v>
      </c>
      <c r="B1756">
        <v>1</v>
      </c>
      <c r="C1756" t="s">
        <v>34</v>
      </c>
      <c r="D1756" t="s">
        <v>44</v>
      </c>
      <c r="E1756" s="2">
        <v>94</v>
      </c>
      <c r="F1756">
        <v>0</v>
      </c>
      <c r="G1756">
        <v>94</v>
      </c>
      <c r="H1756">
        <v>5.3</v>
      </c>
      <c r="I1756" t="s">
        <v>33</v>
      </c>
      <c r="J1756" s="33" t="s">
        <v>143</v>
      </c>
    </row>
    <row r="1757" spans="1:10" x14ac:dyDescent="0.25">
      <c r="A1757" t="s">
        <v>42</v>
      </c>
      <c r="B1757">
        <v>1</v>
      </c>
      <c r="C1757" t="s">
        <v>34</v>
      </c>
      <c r="D1757" t="s">
        <v>44</v>
      </c>
      <c r="E1757" s="2">
        <v>94</v>
      </c>
      <c r="F1757">
        <v>0</v>
      </c>
      <c r="G1757">
        <v>94</v>
      </c>
      <c r="H1757">
        <v>9.5</v>
      </c>
      <c r="I1757" t="s">
        <v>33</v>
      </c>
      <c r="J1757" s="33" t="s">
        <v>143</v>
      </c>
    </row>
    <row r="1758" spans="1:10" x14ac:dyDescent="0.25">
      <c r="A1758" t="s">
        <v>42</v>
      </c>
      <c r="B1758">
        <v>2</v>
      </c>
      <c r="C1758" t="s">
        <v>34</v>
      </c>
      <c r="D1758" t="s">
        <v>46</v>
      </c>
      <c r="E1758" s="2">
        <v>94</v>
      </c>
      <c r="F1758">
        <v>6</v>
      </c>
      <c r="G1758">
        <v>88</v>
      </c>
      <c r="H1758">
        <v>4</v>
      </c>
      <c r="I1758" t="s">
        <v>33</v>
      </c>
      <c r="J1758" s="33" t="s">
        <v>143</v>
      </c>
    </row>
    <row r="1759" spans="1:10" x14ac:dyDescent="0.25">
      <c r="A1759" t="s">
        <v>42</v>
      </c>
      <c r="B1759">
        <v>3</v>
      </c>
      <c r="C1759" t="s">
        <v>34</v>
      </c>
      <c r="D1759" t="s">
        <v>50</v>
      </c>
      <c r="E1759" s="2">
        <v>94</v>
      </c>
      <c r="F1759">
        <v>0</v>
      </c>
      <c r="G1759">
        <v>94</v>
      </c>
      <c r="H1759">
        <v>3.8</v>
      </c>
      <c r="I1759" t="s">
        <v>33</v>
      </c>
      <c r="J1759" s="33" t="s">
        <v>143</v>
      </c>
    </row>
    <row r="1760" spans="1:10" x14ac:dyDescent="0.25">
      <c r="A1760" t="s">
        <v>42</v>
      </c>
      <c r="B1760">
        <v>3</v>
      </c>
      <c r="C1760" t="s">
        <v>34</v>
      </c>
      <c r="D1760" t="s">
        <v>50</v>
      </c>
      <c r="E1760" s="2">
        <v>94</v>
      </c>
      <c r="F1760">
        <v>0</v>
      </c>
      <c r="G1760">
        <v>94</v>
      </c>
      <c r="H1760">
        <v>5.8</v>
      </c>
      <c r="I1760" t="s">
        <v>33</v>
      </c>
      <c r="J1760" s="33" t="s">
        <v>143</v>
      </c>
    </row>
    <row r="1761" spans="1:10" x14ac:dyDescent="0.25">
      <c r="A1761" t="s">
        <v>42</v>
      </c>
      <c r="B1761">
        <v>3</v>
      </c>
      <c r="C1761" t="s">
        <v>34</v>
      </c>
      <c r="D1761" t="s">
        <v>50</v>
      </c>
      <c r="E1761" s="2">
        <v>94</v>
      </c>
      <c r="F1761">
        <v>0</v>
      </c>
      <c r="G1761">
        <v>94</v>
      </c>
      <c r="H1761">
        <v>16</v>
      </c>
      <c r="I1761" t="s">
        <v>33</v>
      </c>
      <c r="J1761" s="33" t="s">
        <v>143</v>
      </c>
    </row>
    <row r="1762" spans="1:10" x14ac:dyDescent="0.25">
      <c r="A1762" t="s">
        <v>52</v>
      </c>
      <c r="B1762">
        <v>4</v>
      </c>
      <c r="C1762" t="s">
        <v>34</v>
      </c>
      <c r="D1762" t="s">
        <v>53</v>
      </c>
      <c r="E1762" s="2">
        <v>94</v>
      </c>
      <c r="F1762">
        <v>0</v>
      </c>
      <c r="G1762">
        <v>94</v>
      </c>
      <c r="H1762">
        <v>0.3</v>
      </c>
      <c r="I1762" t="s">
        <v>32</v>
      </c>
      <c r="J1762" s="33" t="s">
        <v>143</v>
      </c>
    </row>
    <row r="1763" spans="1:10" x14ac:dyDescent="0.25">
      <c r="A1763" t="s">
        <v>42</v>
      </c>
      <c r="B1763">
        <v>4</v>
      </c>
      <c r="C1763" t="s">
        <v>30</v>
      </c>
      <c r="D1763" t="s">
        <v>51</v>
      </c>
      <c r="E1763" s="2">
        <v>95</v>
      </c>
      <c r="F1763">
        <v>0</v>
      </c>
      <c r="G1763">
        <v>95</v>
      </c>
      <c r="H1763">
        <v>9.1</v>
      </c>
      <c r="I1763" t="s">
        <v>33</v>
      </c>
      <c r="J1763" s="33" t="s">
        <v>143</v>
      </c>
    </row>
    <row r="1764" spans="1:10" x14ac:dyDescent="0.25">
      <c r="A1764" t="s">
        <v>52</v>
      </c>
      <c r="B1764">
        <v>4</v>
      </c>
      <c r="C1764" t="s">
        <v>34</v>
      </c>
      <c r="D1764" t="s">
        <v>53</v>
      </c>
      <c r="E1764" s="2">
        <v>95</v>
      </c>
      <c r="F1764">
        <v>0</v>
      </c>
      <c r="G1764">
        <v>95</v>
      </c>
      <c r="H1764">
        <v>1.4</v>
      </c>
      <c r="I1764" t="s">
        <v>33</v>
      </c>
      <c r="J1764" s="33" t="s">
        <v>143</v>
      </c>
    </row>
    <row r="1765" spans="1:10" x14ac:dyDescent="0.25">
      <c r="A1765" t="s">
        <v>54</v>
      </c>
      <c r="B1765">
        <v>4</v>
      </c>
      <c r="C1765" t="s">
        <v>30</v>
      </c>
      <c r="D1765" t="s">
        <v>61</v>
      </c>
      <c r="E1765" s="2">
        <v>95</v>
      </c>
      <c r="F1765">
        <v>12</v>
      </c>
      <c r="G1765">
        <v>83</v>
      </c>
      <c r="H1765">
        <v>0</v>
      </c>
      <c r="I1765" t="s">
        <v>32</v>
      </c>
      <c r="J1765" s="33" t="s">
        <v>143</v>
      </c>
    </row>
    <row r="1766" spans="1:10" x14ac:dyDescent="0.25">
      <c r="A1766" t="s">
        <v>63</v>
      </c>
      <c r="B1766">
        <v>5</v>
      </c>
      <c r="C1766" t="s">
        <v>34</v>
      </c>
      <c r="D1766" t="s">
        <v>65</v>
      </c>
      <c r="E1766" s="2">
        <v>95</v>
      </c>
      <c r="F1766">
        <v>0</v>
      </c>
      <c r="G1766">
        <v>95</v>
      </c>
      <c r="H1766">
        <v>0.4</v>
      </c>
      <c r="I1766" t="s">
        <v>32</v>
      </c>
      <c r="J1766" s="33" t="s">
        <v>143</v>
      </c>
    </row>
    <row r="1767" spans="1:10" x14ac:dyDescent="0.25">
      <c r="A1767" t="s">
        <v>71</v>
      </c>
      <c r="B1767">
        <v>11</v>
      </c>
      <c r="C1767" t="s">
        <v>30</v>
      </c>
      <c r="D1767" t="s">
        <v>76</v>
      </c>
      <c r="E1767" s="2">
        <v>95</v>
      </c>
      <c r="F1767">
        <v>0</v>
      </c>
      <c r="G1767">
        <v>95</v>
      </c>
      <c r="H1767">
        <v>1</v>
      </c>
      <c r="I1767" t="s">
        <v>33</v>
      </c>
      <c r="J1767" s="33" t="s">
        <v>143</v>
      </c>
    </row>
    <row r="1768" spans="1:10" x14ac:dyDescent="0.25">
      <c r="A1768" t="s">
        <v>29</v>
      </c>
      <c r="B1768">
        <v>1</v>
      </c>
      <c r="C1768" t="s">
        <v>30</v>
      </c>
      <c r="D1768" t="s">
        <v>31</v>
      </c>
      <c r="E1768" s="2">
        <v>96</v>
      </c>
      <c r="F1768">
        <v>0</v>
      </c>
      <c r="G1768">
        <v>96</v>
      </c>
      <c r="H1768">
        <v>4.0999999999999996</v>
      </c>
      <c r="I1768" t="s">
        <v>33</v>
      </c>
      <c r="J1768" s="33" t="s">
        <v>143</v>
      </c>
    </row>
    <row r="1769" spans="1:10" x14ac:dyDescent="0.25">
      <c r="A1769" t="s">
        <v>29</v>
      </c>
      <c r="B1769">
        <v>3</v>
      </c>
      <c r="C1769" t="s">
        <v>34</v>
      </c>
      <c r="D1769" t="s">
        <v>39</v>
      </c>
      <c r="E1769" s="2">
        <v>96</v>
      </c>
      <c r="F1769">
        <v>0</v>
      </c>
      <c r="G1769">
        <v>96</v>
      </c>
      <c r="H1769">
        <v>9.1999999999999993</v>
      </c>
      <c r="I1769" t="s">
        <v>33</v>
      </c>
      <c r="J1769" s="33" t="s">
        <v>143</v>
      </c>
    </row>
    <row r="1770" spans="1:10" x14ac:dyDescent="0.25">
      <c r="A1770" t="s">
        <v>52</v>
      </c>
      <c r="B1770">
        <v>4</v>
      </c>
      <c r="C1770" t="s">
        <v>34</v>
      </c>
      <c r="D1770" t="s">
        <v>53</v>
      </c>
      <c r="E1770" s="2">
        <v>96</v>
      </c>
      <c r="F1770">
        <v>0</v>
      </c>
      <c r="G1770">
        <v>96</v>
      </c>
      <c r="H1770">
        <v>16</v>
      </c>
      <c r="I1770" t="s">
        <v>33</v>
      </c>
      <c r="J1770" s="33" t="s">
        <v>143</v>
      </c>
    </row>
    <row r="1771" spans="1:10" x14ac:dyDescent="0.25">
      <c r="A1771" t="s">
        <v>63</v>
      </c>
      <c r="B1771">
        <v>1</v>
      </c>
      <c r="C1771" t="s">
        <v>34</v>
      </c>
      <c r="D1771" t="s">
        <v>67</v>
      </c>
      <c r="E1771" s="2">
        <v>96</v>
      </c>
      <c r="F1771">
        <v>0</v>
      </c>
      <c r="G1771">
        <v>96</v>
      </c>
      <c r="H1771">
        <v>12.4</v>
      </c>
      <c r="I1771" t="s">
        <v>33</v>
      </c>
      <c r="J1771" s="33" t="s">
        <v>143</v>
      </c>
    </row>
    <row r="1772" spans="1:10" x14ac:dyDescent="0.25">
      <c r="A1772" t="s">
        <v>71</v>
      </c>
      <c r="B1772">
        <v>11</v>
      </c>
      <c r="C1772" t="s">
        <v>30</v>
      </c>
      <c r="D1772" t="s">
        <v>76</v>
      </c>
      <c r="E1772" s="2">
        <v>96</v>
      </c>
      <c r="F1772">
        <v>0</v>
      </c>
      <c r="G1772">
        <v>96</v>
      </c>
      <c r="H1772">
        <v>1.4</v>
      </c>
      <c r="I1772" t="s">
        <v>33</v>
      </c>
      <c r="J1772" s="33" t="s">
        <v>143</v>
      </c>
    </row>
    <row r="1773" spans="1:10" x14ac:dyDescent="0.25">
      <c r="A1773" t="s">
        <v>42</v>
      </c>
      <c r="B1773">
        <v>2</v>
      </c>
      <c r="C1773" t="s">
        <v>34</v>
      </c>
      <c r="D1773" t="s">
        <v>46</v>
      </c>
      <c r="E1773" s="2">
        <v>97</v>
      </c>
      <c r="F1773">
        <v>0</v>
      </c>
      <c r="G1773">
        <v>97</v>
      </c>
      <c r="H1773">
        <v>10</v>
      </c>
      <c r="I1773" t="s">
        <v>33</v>
      </c>
      <c r="J1773" s="33" t="s">
        <v>143</v>
      </c>
    </row>
    <row r="1774" spans="1:10" x14ac:dyDescent="0.25">
      <c r="A1774" t="s">
        <v>54</v>
      </c>
      <c r="B1774">
        <v>4</v>
      </c>
      <c r="C1774" t="s">
        <v>34</v>
      </c>
      <c r="D1774" t="s">
        <v>62</v>
      </c>
      <c r="E1774" s="2">
        <v>97</v>
      </c>
      <c r="F1774">
        <v>45</v>
      </c>
      <c r="G1774">
        <v>52</v>
      </c>
      <c r="H1774">
        <v>0</v>
      </c>
      <c r="I1774" t="s">
        <v>32</v>
      </c>
      <c r="J1774" s="33" t="s">
        <v>143</v>
      </c>
    </row>
    <row r="1775" spans="1:10" x14ac:dyDescent="0.25">
      <c r="A1775" t="s">
        <v>29</v>
      </c>
      <c r="B1775">
        <v>1</v>
      </c>
      <c r="C1775" t="s">
        <v>30</v>
      </c>
      <c r="D1775" t="s">
        <v>31</v>
      </c>
      <c r="E1775" s="2">
        <v>98</v>
      </c>
      <c r="F1775">
        <v>5</v>
      </c>
      <c r="G1775">
        <v>93</v>
      </c>
      <c r="H1775">
        <v>9.3000000000000007</v>
      </c>
      <c r="I1775" t="s">
        <v>33</v>
      </c>
      <c r="J1775" s="33" t="s">
        <v>143</v>
      </c>
    </row>
    <row r="1776" spans="1:10" x14ac:dyDescent="0.25">
      <c r="A1776" t="s">
        <v>42</v>
      </c>
      <c r="B1776">
        <v>5</v>
      </c>
      <c r="C1776" t="s">
        <v>34</v>
      </c>
      <c r="D1776" t="s">
        <v>48</v>
      </c>
      <c r="E1776" s="2">
        <v>98</v>
      </c>
      <c r="F1776">
        <v>0</v>
      </c>
      <c r="G1776">
        <v>98</v>
      </c>
      <c r="H1776">
        <v>9.4</v>
      </c>
      <c r="I1776" t="s">
        <v>33</v>
      </c>
      <c r="J1776" s="33" t="s">
        <v>143</v>
      </c>
    </row>
    <row r="1777" spans="1:10" x14ac:dyDescent="0.25">
      <c r="A1777" t="s">
        <v>54</v>
      </c>
      <c r="B1777">
        <v>4</v>
      </c>
      <c r="C1777" t="s">
        <v>34</v>
      </c>
      <c r="D1777" t="s">
        <v>62</v>
      </c>
      <c r="E1777" s="2">
        <v>98</v>
      </c>
      <c r="F1777">
        <v>38</v>
      </c>
      <c r="G1777">
        <v>60</v>
      </c>
      <c r="H1777">
        <v>0</v>
      </c>
      <c r="I1777" t="s">
        <v>32</v>
      </c>
      <c r="J1777" s="33" t="s">
        <v>143</v>
      </c>
    </row>
    <row r="1778" spans="1:10" x14ac:dyDescent="0.25">
      <c r="A1778" t="s">
        <v>68</v>
      </c>
      <c r="B1778">
        <v>6</v>
      </c>
      <c r="C1778" t="s">
        <v>34</v>
      </c>
      <c r="D1778" t="s">
        <v>70</v>
      </c>
      <c r="E1778" s="2">
        <v>98</v>
      </c>
      <c r="F1778">
        <v>0</v>
      </c>
      <c r="G1778">
        <v>98</v>
      </c>
      <c r="H1778">
        <v>3.4</v>
      </c>
      <c r="I1778" t="s">
        <v>33</v>
      </c>
      <c r="J1778" s="33" t="s">
        <v>143</v>
      </c>
    </row>
    <row r="1779" spans="1:10" x14ac:dyDescent="0.25">
      <c r="A1779" t="s">
        <v>42</v>
      </c>
      <c r="B1779">
        <v>1</v>
      </c>
      <c r="C1779" t="s">
        <v>34</v>
      </c>
      <c r="D1779" t="s">
        <v>44</v>
      </c>
      <c r="E1779" s="2">
        <v>99</v>
      </c>
      <c r="F1779">
        <v>0</v>
      </c>
      <c r="G1779">
        <v>99</v>
      </c>
      <c r="H1779">
        <v>6.8</v>
      </c>
      <c r="I1779" t="s">
        <v>33</v>
      </c>
      <c r="J1779" s="33" t="s">
        <v>143</v>
      </c>
    </row>
    <row r="1780" spans="1:10" x14ac:dyDescent="0.25">
      <c r="A1780" t="s">
        <v>42</v>
      </c>
      <c r="B1780">
        <v>2</v>
      </c>
      <c r="C1780" t="s">
        <v>34</v>
      </c>
      <c r="D1780" t="s">
        <v>46</v>
      </c>
      <c r="E1780" s="2">
        <v>99</v>
      </c>
      <c r="F1780">
        <v>0</v>
      </c>
      <c r="G1780">
        <v>99</v>
      </c>
      <c r="H1780">
        <v>7.4</v>
      </c>
      <c r="I1780" t="s">
        <v>33</v>
      </c>
      <c r="J1780" s="33" t="s">
        <v>143</v>
      </c>
    </row>
    <row r="1781" spans="1:10" x14ac:dyDescent="0.25">
      <c r="A1781" t="s">
        <v>71</v>
      </c>
      <c r="B1781">
        <v>8</v>
      </c>
      <c r="C1781" t="s">
        <v>30</v>
      </c>
      <c r="D1781" t="s">
        <v>72</v>
      </c>
      <c r="E1781" s="2">
        <v>99</v>
      </c>
      <c r="F1781">
        <v>0</v>
      </c>
      <c r="G1781">
        <v>99</v>
      </c>
      <c r="H1781">
        <v>1.1000000000000001</v>
      </c>
      <c r="I1781" t="s">
        <v>33</v>
      </c>
      <c r="J1781" s="33" t="s">
        <v>143</v>
      </c>
    </row>
    <row r="1782" spans="1:10" x14ac:dyDescent="0.25">
      <c r="A1782" t="s">
        <v>42</v>
      </c>
      <c r="B1782">
        <v>3</v>
      </c>
      <c r="C1782" t="s">
        <v>34</v>
      </c>
      <c r="D1782" t="s">
        <v>50</v>
      </c>
      <c r="E1782" s="2">
        <v>100</v>
      </c>
      <c r="F1782">
        <v>0</v>
      </c>
      <c r="G1782">
        <v>100</v>
      </c>
      <c r="H1782">
        <v>14.1</v>
      </c>
      <c r="I1782" t="s">
        <v>33</v>
      </c>
      <c r="J1782" s="33" t="s">
        <v>143</v>
      </c>
    </row>
    <row r="1783" spans="1:10" x14ac:dyDescent="0.25">
      <c r="A1783" t="s">
        <v>71</v>
      </c>
      <c r="B1783">
        <v>11</v>
      </c>
      <c r="C1783" t="s">
        <v>30</v>
      </c>
      <c r="D1783" t="s">
        <v>76</v>
      </c>
      <c r="E1783" s="2">
        <v>100</v>
      </c>
      <c r="F1783">
        <v>0</v>
      </c>
      <c r="G1783">
        <v>100</v>
      </c>
      <c r="H1783">
        <v>1.5</v>
      </c>
      <c r="I1783" t="s">
        <v>33</v>
      </c>
      <c r="J1783" s="33" t="s">
        <v>143</v>
      </c>
    </row>
    <row r="1784" spans="1:10" x14ac:dyDescent="0.25">
      <c r="A1784" t="s">
        <v>42</v>
      </c>
      <c r="B1784">
        <v>3</v>
      </c>
      <c r="C1784" t="s">
        <v>30</v>
      </c>
      <c r="D1784" t="s">
        <v>49</v>
      </c>
      <c r="E1784" s="2">
        <v>101</v>
      </c>
      <c r="F1784">
        <v>0</v>
      </c>
      <c r="G1784">
        <v>101</v>
      </c>
      <c r="H1784">
        <v>5.6</v>
      </c>
      <c r="I1784" t="s">
        <v>33</v>
      </c>
      <c r="J1784" s="33" t="s">
        <v>144</v>
      </c>
    </row>
    <row r="1785" spans="1:10" x14ac:dyDescent="0.25">
      <c r="A1785" t="s">
        <v>42</v>
      </c>
      <c r="B1785">
        <v>3</v>
      </c>
      <c r="C1785" t="s">
        <v>34</v>
      </c>
      <c r="D1785" t="s">
        <v>50</v>
      </c>
      <c r="E1785" s="2">
        <v>101</v>
      </c>
      <c r="F1785">
        <v>0</v>
      </c>
      <c r="G1785">
        <v>101</v>
      </c>
      <c r="H1785">
        <v>0.8</v>
      </c>
      <c r="I1785" t="s">
        <v>32</v>
      </c>
      <c r="J1785" s="33" t="s">
        <v>144</v>
      </c>
    </row>
    <row r="1786" spans="1:10" x14ac:dyDescent="0.25">
      <c r="A1786" t="s">
        <v>54</v>
      </c>
      <c r="B1786">
        <v>4</v>
      </c>
      <c r="C1786" t="s">
        <v>30</v>
      </c>
      <c r="D1786" t="s">
        <v>61</v>
      </c>
      <c r="E1786" s="2">
        <v>101</v>
      </c>
      <c r="F1786">
        <v>14</v>
      </c>
      <c r="G1786">
        <v>87</v>
      </c>
      <c r="H1786">
        <v>0</v>
      </c>
      <c r="I1786" t="s">
        <v>32</v>
      </c>
      <c r="J1786" s="33" t="s">
        <v>144</v>
      </c>
    </row>
    <row r="1787" spans="1:10" x14ac:dyDescent="0.25">
      <c r="A1787" t="s">
        <v>29</v>
      </c>
      <c r="B1787">
        <v>1</v>
      </c>
      <c r="C1787" t="s">
        <v>30</v>
      </c>
      <c r="D1787" t="s">
        <v>31</v>
      </c>
      <c r="E1787" s="2">
        <v>102</v>
      </c>
      <c r="F1787">
        <v>0</v>
      </c>
      <c r="G1787">
        <v>102</v>
      </c>
      <c r="H1787">
        <v>19.3</v>
      </c>
      <c r="I1787" t="s">
        <v>33</v>
      </c>
      <c r="J1787" s="33" t="s">
        <v>144</v>
      </c>
    </row>
    <row r="1788" spans="1:10" x14ac:dyDescent="0.25">
      <c r="A1788" t="s">
        <v>42</v>
      </c>
      <c r="B1788">
        <v>1</v>
      </c>
      <c r="C1788" t="s">
        <v>34</v>
      </c>
      <c r="D1788" t="s">
        <v>44</v>
      </c>
      <c r="E1788" s="2">
        <v>102</v>
      </c>
      <c r="F1788">
        <v>0</v>
      </c>
      <c r="G1788">
        <v>102</v>
      </c>
      <c r="H1788">
        <v>12.4</v>
      </c>
      <c r="I1788" t="s">
        <v>33</v>
      </c>
      <c r="J1788" s="33" t="s">
        <v>144</v>
      </c>
    </row>
    <row r="1789" spans="1:10" x14ac:dyDescent="0.25">
      <c r="A1789" t="s">
        <v>42</v>
      </c>
      <c r="B1789">
        <v>3</v>
      </c>
      <c r="C1789" t="s">
        <v>30</v>
      </c>
      <c r="D1789" t="s">
        <v>49</v>
      </c>
      <c r="E1789" s="2">
        <v>102</v>
      </c>
      <c r="F1789">
        <v>0</v>
      </c>
      <c r="G1789">
        <v>102</v>
      </c>
      <c r="H1789">
        <v>0.3</v>
      </c>
      <c r="I1789" t="s">
        <v>32</v>
      </c>
      <c r="J1789" s="33" t="s">
        <v>144</v>
      </c>
    </row>
    <row r="1790" spans="1:10" x14ac:dyDescent="0.25">
      <c r="A1790" t="s">
        <v>42</v>
      </c>
      <c r="B1790">
        <v>3</v>
      </c>
      <c r="C1790" t="s">
        <v>34</v>
      </c>
      <c r="D1790" t="s">
        <v>50</v>
      </c>
      <c r="E1790" s="2">
        <v>102</v>
      </c>
      <c r="F1790">
        <v>24</v>
      </c>
      <c r="G1790">
        <v>78</v>
      </c>
      <c r="H1790">
        <v>0</v>
      </c>
      <c r="I1790" t="s">
        <v>32</v>
      </c>
      <c r="J1790" s="33" t="s">
        <v>144</v>
      </c>
    </row>
    <row r="1791" spans="1:10" x14ac:dyDescent="0.25">
      <c r="A1791" t="s">
        <v>54</v>
      </c>
      <c r="B1791">
        <v>4</v>
      </c>
      <c r="C1791" t="s">
        <v>30</v>
      </c>
      <c r="D1791" t="s">
        <v>61</v>
      </c>
      <c r="E1791" s="2">
        <v>102</v>
      </c>
      <c r="F1791">
        <v>0</v>
      </c>
      <c r="G1791">
        <v>102</v>
      </c>
      <c r="H1791">
        <v>0.9</v>
      </c>
      <c r="I1791" t="s">
        <v>32</v>
      </c>
      <c r="J1791" s="33" t="s">
        <v>144</v>
      </c>
    </row>
    <row r="1792" spans="1:10" x14ac:dyDescent="0.25">
      <c r="A1792" t="s">
        <v>68</v>
      </c>
      <c r="B1792">
        <v>6</v>
      </c>
      <c r="C1792" t="s">
        <v>30</v>
      </c>
      <c r="D1792" t="s">
        <v>69</v>
      </c>
      <c r="E1792" s="2">
        <v>102</v>
      </c>
      <c r="F1792">
        <v>0</v>
      </c>
      <c r="G1792">
        <v>102</v>
      </c>
      <c r="H1792">
        <v>2.4</v>
      </c>
      <c r="I1792" t="s">
        <v>33</v>
      </c>
      <c r="J1792" s="33" t="s">
        <v>144</v>
      </c>
    </row>
    <row r="1793" spans="1:10" x14ac:dyDescent="0.25">
      <c r="A1793" t="s">
        <v>71</v>
      </c>
      <c r="B1793">
        <v>11</v>
      </c>
      <c r="C1793" t="s">
        <v>34</v>
      </c>
      <c r="D1793" t="s">
        <v>77</v>
      </c>
      <c r="E1793" s="2">
        <v>102</v>
      </c>
      <c r="F1793">
        <v>20</v>
      </c>
      <c r="G1793">
        <v>82</v>
      </c>
      <c r="H1793">
        <v>0</v>
      </c>
      <c r="I1793" t="s">
        <v>32</v>
      </c>
      <c r="J1793" s="33" t="s">
        <v>144</v>
      </c>
    </row>
    <row r="1794" spans="1:10" x14ac:dyDescent="0.25">
      <c r="A1794" t="s">
        <v>42</v>
      </c>
      <c r="B1794">
        <v>1</v>
      </c>
      <c r="C1794" t="s">
        <v>34</v>
      </c>
      <c r="D1794" t="s">
        <v>44</v>
      </c>
      <c r="E1794" s="2">
        <v>103</v>
      </c>
      <c r="F1794">
        <v>4</v>
      </c>
      <c r="G1794">
        <v>99</v>
      </c>
      <c r="H1794">
        <v>4.2</v>
      </c>
      <c r="I1794" t="s">
        <v>33</v>
      </c>
      <c r="J1794" s="33" t="s">
        <v>144</v>
      </c>
    </row>
    <row r="1795" spans="1:10" x14ac:dyDescent="0.25">
      <c r="A1795" t="s">
        <v>42</v>
      </c>
      <c r="B1795">
        <v>2</v>
      </c>
      <c r="C1795" t="s">
        <v>34</v>
      </c>
      <c r="D1795" t="s">
        <v>46</v>
      </c>
      <c r="E1795" s="2">
        <v>103</v>
      </c>
      <c r="F1795">
        <v>0</v>
      </c>
      <c r="G1795">
        <v>103</v>
      </c>
      <c r="H1795">
        <v>12.9</v>
      </c>
      <c r="I1795" t="s">
        <v>33</v>
      </c>
      <c r="J1795" s="33" t="s">
        <v>144</v>
      </c>
    </row>
    <row r="1796" spans="1:10" x14ac:dyDescent="0.25">
      <c r="A1796" t="s">
        <v>42</v>
      </c>
      <c r="B1796">
        <v>5</v>
      </c>
      <c r="C1796" t="s">
        <v>34</v>
      </c>
      <c r="D1796" t="s">
        <v>48</v>
      </c>
      <c r="E1796" s="2">
        <v>103</v>
      </c>
      <c r="F1796">
        <v>0</v>
      </c>
      <c r="G1796">
        <v>103</v>
      </c>
      <c r="H1796">
        <v>17.8</v>
      </c>
      <c r="I1796" t="s">
        <v>33</v>
      </c>
      <c r="J1796" s="33" t="s">
        <v>144</v>
      </c>
    </row>
    <row r="1797" spans="1:10" x14ac:dyDescent="0.25">
      <c r="A1797" t="s">
        <v>52</v>
      </c>
      <c r="B1797">
        <v>4</v>
      </c>
      <c r="C1797" t="s">
        <v>34</v>
      </c>
      <c r="D1797" t="s">
        <v>53</v>
      </c>
      <c r="E1797" s="2">
        <v>103</v>
      </c>
      <c r="F1797">
        <v>0</v>
      </c>
      <c r="G1797">
        <v>103</v>
      </c>
      <c r="H1797">
        <v>11.3</v>
      </c>
      <c r="I1797" t="s">
        <v>33</v>
      </c>
      <c r="J1797" s="33" t="s">
        <v>144</v>
      </c>
    </row>
    <row r="1798" spans="1:10" x14ac:dyDescent="0.25">
      <c r="A1798" t="s">
        <v>54</v>
      </c>
      <c r="B1798">
        <v>1</v>
      </c>
      <c r="C1798" t="s">
        <v>30</v>
      </c>
      <c r="D1798" t="s">
        <v>55</v>
      </c>
      <c r="E1798" s="2">
        <v>103</v>
      </c>
      <c r="F1798">
        <v>4</v>
      </c>
      <c r="G1798">
        <v>99</v>
      </c>
      <c r="H1798">
        <v>0.2</v>
      </c>
      <c r="I1798" t="s">
        <v>32</v>
      </c>
      <c r="J1798" s="33" t="s">
        <v>144</v>
      </c>
    </row>
    <row r="1799" spans="1:10" x14ac:dyDescent="0.25">
      <c r="A1799" t="s">
        <v>63</v>
      </c>
      <c r="B1799">
        <v>5</v>
      </c>
      <c r="C1799" t="s">
        <v>34</v>
      </c>
      <c r="D1799" t="s">
        <v>65</v>
      </c>
      <c r="E1799" s="2">
        <v>103</v>
      </c>
      <c r="F1799">
        <v>11</v>
      </c>
      <c r="G1799">
        <v>92</v>
      </c>
      <c r="H1799">
        <v>0</v>
      </c>
      <c r="I1799" t="s">
        <v>32</v>
      </c>
      <c r="J1799" s="33" t="s">
        <v>144</v>
      </c>
    </row>
    <row r="1800" spans="1:10" x14ac:dyDescent="0.25">
      <c r="A1800" t="s">
        <v>29</v>
      </c>
      <c r="B1800">
        <v>1</v>
      </c>
      <c r="C1800" t="s">
        <v>34</v>
      </c>
      <c r="D1800" t="s">
        <v>35</v>
      </c>
      <c r="E1800" s="2">
        <v>104</v>
      </c>
      <c r="F1800">
        <v>0</v>
      </c>
      <c r="G1800">
        <v>104</v>
      </c>
      <c r="H1800">
        <v>1.2</v>
      </c>
      <c r="I1800" t="s">
        <v>33</v>
      </c>
      <c r="J1800" s="33" t="s">
        <v>144</v>
      </c>
    </row>
    <row r="1801" spans="1:10" x14ac:dyDescent="0.25">
      <c r="A1801" t="s">
        <v>42</v>
      </c>
      <c r="B1801">
        <v>5</v>
      </c>
      <c r="C1801" t="s">
        <v>34</v>
      </c>
      <c r="D1801" t="s">
        <v>48</v>
      </c>
      <c r="E1801" s="2">
        <v>104</v>
      </c>
      <c r="F1801">
        <v>0</v>
      </c>
      <c r="G1801">
        <v>104</v>
      </c>
      <c r="H1801">
        <v>13</v>
      </c>
      <c r="I1801" t="s">
        <v>33</v>
      </c>
      <c r="J1801" s="33" t="s">
        <v>144</v>
      </c>
    </row>
    <row r="1802" spans="1:10" x14ac:dyDescent="0.25">
      <c r="A1802" t="s">
        <v>63</v>
      </c>
      <c r="B1802">
        <v>5</v>
      </c>
      <c r="C1802" t="s">
        <v>34</v>
      </c>
      <c r="D1802" t="s">
        <v>65</v>
      </c>
      <c r="E1802" s="2">
        <v>104</v>
      </c>
      <c r="F1802">
        <v>15</v>
      </c>
      <c r="G1802">
        <v>89</v>
      </c>
      <c r="H1802">
        <v>0</v>
      </c>
      <c r="I1802" t="s">
        <v>32</v>
      </c>
      <c r="J1802" s="33" t="s">
        <v>144</v>
      </c>
    </row>
    <row r="1803" spans="1:10" x14ac:dyDescent="0.25">
      <c r="A1803" t="s">
        <v>71</v>
      </c>
      <c r="B1803">
        <v>11</v>
      </c>
      <c r="C1803" t="s">
        <v>30</v>
      </c>
      <c r="D1803" t="s">
        <v>76</v>
      </c>
      <c r="E1803" s="2">
        <v>104</v>
      </c>
      <c r="F1803">
        <v>0</v>
      </c>
      <c r="G1803">
        <v>104</v>
      </c>
      <c r="H1803">
        <v>3.4</v>
      </c>
      <c r="I1803" t="s">
        <v>33</v>
      </c>
      <c r="J1803" s="33" t="s">
        <v>144</v>
      </c>
    </row>
    <row r="1804" spans="1:10" x14ac:dyDescent="0.25">
      <c r="A1804" t="s">
        <v>42</v>
      </c>
      <c r="B1804">
        <v>1</v>
      </c>
      <c r="C1804" t="s">
        <v>34</v>
      </c>
      <c r="D1804" t="s">
        <v>44</v>
      </c>
      <c r="E1804" s="2">
        <v>105</v>
      </c>
      <c r="F1804">
        <v>0</v>
      </c>
      <c r="G1804">
        <v>105</v>
      </c>
      <c r="H1804">
        <v>15.1</v>
      </c>
      <c r="I1804" t="s">
        <v>33</v>
      </c>
      <c r="J1804" s="33" t="s">
        <v>144</v>
      </c>
    </row>
    <row r="1805" spans="1:10" x14ac:dyDescent="0.25">
      <c r="A1805" t="s">
        <v>42</v>
      </c>
      <c r="B1805">
        <v>4</v>
      </c>
      <c r="C1805" t="s">
        <v>30</v>
      </c>
      <c r="D1805" t="s">
        <v>51</v>
      </c>
      <c r="E1805" s="2">
        <v>105</v>
      </c>
      <c r="F1805">
        <v>0</v>
      </c>
      <c r="G1805">
        <v>105</v>
      </c>
      <c r="H1805">
        <v>2.8</v>
      </c>
      <c r="I1805" t="s">
        <v>33</v>
      </c>
      <c r="J1805" s="33" t="s">
        <v>144</v>
      </c>
    </row>
    <row r="1806" spans="1:10" x14ac:dyDescent="0.25">
      <c r="A1806" t="s">
        <v>54</v>
      </c>
      <c r="B1806">
        <v>4</v>
      </c>
      <c r="C1806" t="s">
        <v>34</v>
      </c>
      <c r="D1806" t="s">
        <v>62</v>
      </c>
      <c r="E1806" s="2">
        <v>105</v>
      </c>
      <c r="F1806">
        <v>0</v>
      </c>
      <c r="G1806">
        <v>105</v>
      </c>
      <c r="H1806">
        <v>1</v>
      </c>
      <c r="I1806" t="s">
        <v>33</v>
      </c>
      <c r="J1806" s="33" t="s">
        <v>144</v>
      </c>
    </row>
    <row r="1807" spans="1:10" x14ac:dyDescent="0.25">
      <c r="A1807" t="s">
        <v>42</v>
      </c>
      <c r="B1807">
        <v>3</v>
      </c>
      <c r="C1807" t="s">
        <v>34</v>
      </c>
      <c r="D1807" t="s">
        <v>50</v>
      </c>
      <c r="E1807" s="2">
        <v>106</v>
      </c>
      <c r="F1807">
        <v>14</v>
      </c>
      <c r="G1807">
        <v>92</v>
      </c>
      <c r="H1807">
        <v>0</v>
      </c>
      <c r="I1807" t="s">
        <v>32</v>
      </c>
      <c r="J1807" s="33" t="s">
        <v>144</v>
      </c>
    </row>
    <row r="1808" spans="1:10" x14ac:dyDescent="0.25">
      <c r="A1808" t="s">
        <v>42</v>
      </c>
      <c r="B1808">
        <v>3</v>
      </c>
      <c r="C1808" t="s">
        <v>34</v>
      </c>
      <c r="D1808" t="s">
        <v>50</v>
      </c>
      <c r="E1808" s="2">
        <v>106</v>
      </c>
      <c r="F1808">
        <v>0</v>
      </c>
      <c r="G1808">
        <v>106</v>
      </c>
      <c r="H1808">
        <v>7.9</v>
      </c>
      <c r="I1808" t="s">
        <v>33</v>
      </c>
      <c r="J1808" s="33" t="s">
        <v>144</v>
      </c>
    </row>
    <row r="1809" spans="1:10" x14ac:dyDescent="0.25">
      <c r="A1809" t="s">
        <v>52</v>
      </c>
      <c r="B1809">
        <v>4</v>
      </c>
      <c r="C1809" t="s">
        <v>34</v>
      </c>
      <c r="D1809" t="s">
        <v>53</v>
      </c>
      <c r="E1809" s="2">
        <v>106</v>
      </c>
      <c r="F1809">
        <v>0</v>
      </c>
      <c r="G1809">
        <v>106</v>
      </c>
      <c r="H1809">
        <v>2.6</v>
      </c>
      <c r="I1809" t="s">
        <v>33</v>
      </c>
      <c r="J1809" s="33" t="s">
        <v>144</v>
      </c>
    </row>
    <row r="1810" spans="1:10" x14ac:dyDescent="0.25">
      <c r="A1810" t="s">
        <v>71</v>
      </c>
      <c r="B1810">
        <v>11</v>
      </c>
      <c r="C1810" t="s">
        <v>30</v>
      </c>
      <c r="D1810" t="s">
        <v>76</v>
      </c>
      <c r="E1810" s="2">
        <v>106</v>
      </c>
      <c r="F1810">
        <v>0</v>
      </c>
      <c r="G1810">
        <v>106</v>
      </c>
      <c r="H1810">
        <v>0.6</v>
      </c>
      <c r="I1810" t="s">
        <v>32</v>
      </c>
      <c r="J1810" s="33" t="s">
        <v>144</v>
      </c>
    </row>
    <row r="1811" spans="1:10" x14ac:dyDescent="0.25">
      <c r="A1811" t="s">
        <v>54</v>
      </c>
      <c r="B1811">
        <v>4</v>
      </c>
      <c r="C1811" t="s">
        <v>30</v>
      </c>
      <c r="D1811" t="s">
        <v>61</v>
      </c>
      <c r="E1811" s="2">
        <v>107</v>
      </c>
      <c r="F1811">
        <v>22</v>
      </c>
      <c r="G1811">
        <v>85</v>
      </c>
      <c r="H1811">
        <v>0</v>
      </c>
      <c r="I1811" t="s">
        <v>32</v>
      </c>
      <c r="J1811" s="33" t="s">
        <v>144</v>
      </c>
    </row>
    <row r="1812" spans="1:10" x14ac:dyDescent="0.25">
      <c r="A1812" t="s">
        <v>63</v>
      </c>
      <c r="B1812">
        <v>5</v>
      </c>
      <c r="C1812" t="s">
        <v>34</v>
      </c>
      <c r="D1812" t="s">
        <v>65</v>
      </c>
      <c r="E1812" s="2">
        <v>107</v>
      </c>
      <c r="F1812">
        <v>6</v>
      </c>
      <c r="G1812">
        <v>101</v>
      </c>
      <c r="H1812">
        <v>0.5</v>
      </c>
      <c r="I1812" t="s">
        <v>32</v>
      </c>
      <c r="J1812" s="33" t="s">
        <v>144</v>
      </c>
    </row>
    <row r="1813" spans="1:10" x14ac:dyDescent="0.25">
      <c r="A1813" t="s">
        <v>63</v>
      </c>
      <c r="B1813">
        <v>1</v>
      </c>
      <c r="C1813" t="s">
        <v>34</v>
      </c>
      <c r="D1813" t="s">
        <v>67</v>
      </c>
      <c r="E1813" s="2">
        <v>107</v>
      </c>
      <c r="F1813">
        <v>0</v>
      </c>
      <c r="G1813">
        <v>107</v>
      </c>
      <c r="H1813">
        <v>18.399999999999999</v>
      </c>
      <c r="I1813" t="s">
        <v>33</v>
      </c>
      <c r="J1813" s="33" t="s">
        <v>144</v>
      </c>
    </row>
    <row r="1814" spans="1:10" x14ac:dyDescent="0.25">
      <c r="A1814" t="s">
        <v>63</v>
      </c>
      <c r="B1814">
        <v>1</v>
      </c>
      <c r="C1814" t="s">
        <v>34</v>
      </c>
      <c r="D1814" t="s">
        <v>67</v>
      </c>
      <c r="E1814" s="2">
        <v>107</v>
      </c>
      <c r="F1814">
        <v>0</v>
      </c>
      <c r="G1814">
        <v>107</v>
      </c>
      <c r="H1814">
        <v>1.1000000000000001</v>
      </c>
      <c r="I1814" t="s">
        <v>33</v>
      </c>
      <c r="J1814" s="33" t="s">
        <v>144</v>
      </c>
    </row>
    <row r="1815" spans="1:10" x14ac:dyDescent="0.25">
      <c r="A1815" t="s">
        <v>63</v>
      </c>
      <c r="B1815">
        <v>5</v>
      </c>
      <c r="C1815" t="s">
        <v>34</v>
      </c>
      <c r="D1815" t="s">
        <v>65</v>
      </c>
      <c r="E1815" s="2">
        <v>108</v>
      </c>
      <c r="F1815">
        <v>4</v>
      </c>
      <c r="G1815">
        <v>104</v>
      </c>
      <c r="H1815">
        <v>1.8</v>
      </c>
      <c r="I1815" t="s">
        <v>33</v>
      </c>
      <c r="J1815" s="33" t="s">
        <v>144</v>
      </c>
    </row>
    <row r="1816" spans="1:10" x14ac:dyDescent="0.25">
      <c r="A1816" t="s">
        <v>29</v>
      </c>
      <c r="B1816">
        <v>1</v>
      </c>
      <c r="C1816" t="s">
        <v>30</v>
      </c>
      <c r="D1816" t="s">
        <v>31</v>
      </c>
      <c r="E1816" s="2">
        <v>109</v>
      </c>
      <c r="F1816">
        <v>0</v>
      </c>
      <c r="G1816">
        <v>109</v>
      </c>
      <c r="H1816">
        <v>11.3</v>
      </c>
      <c r="I1816" t="s">
        <v>33</v>
      </c>
      <c r="J1816" s="33" t="s">
        <v>144</v>
      </c>
    </row>
    <row r="1817" spans="1:10" x14ac:dyDescent="0.25">
      <c r="A1817" t="s">
        <v>42</v>
      </c>
      <c r="B1817">
        <v>4</v>
      </c>
      <c r="C1817" t="s">
        <v>30</v>
      </c>
      <c r="D1817" t="s">
        <v>51</v>
      </c>
      <c r="E1817" s="2">
        <v>109</v>
      </c>
      <c r="F1817">
        <v>0</v>
      </c>
      <c r="G1817">
        <v>109</v>
      </c>
      <c r="H1817">
        <v>17</v>
      </c>
      <c r="I1817" t="s">
        <v>33</v>
      </c>
      <c r="J1817" s="33" t="s">
        <v>144</v>
      </c>
    </row>
    <row r="1818" spans="1:10" x14ac:dyDescent="0.25">
      <c r="A1818" t="s">
        <v>63</v>
      </c>
      <c r="B1818">
        <v>1</v>
      </c>
      <c r="C1818" t="s">
        <v>34</v>
      </c>
      <c r="D1818" t="s">
        <v>67</v>
      </c>
      <c r="E1818" s="2">
        <v>110</v>
      </c>
      <c r="F1818">
        <v>0</v>
      </c>
      <c r="G1818">
        <v>110</v>
      </c>
      <c r="H1818">
        <v>4.7</v>
      </c>
      <c r="I1818" t="s">
        <v>33</v>
      </c>
      <c r="J1818" s="33" t="s">
        <v>144</v>
      </c>
    </row>
    <row r="1819" spans="1:10" x14ac:dyDescent="0.25">
      <c r="A1819" t="s">
        <v>63</v>
      </c>
      <c r="B1819">
        <v>5</v>
      </c>
      <c r="C1819" t="s">
        <v>34</v>
      </c>
      <c r="D1819" t="s">
        <v>65</v>
      </c>
      <c r="E1819" s="2">
        <v>111</v>
      </c>
      <c r="F1819">
        <v>6</v>
      </c>
      <c r="G1819">
        <v>105</v>
      </c>
      <c r="H1819">
        <v>0.4</v>
      </c>
      <c r="I1819" t="s">
        <v>32</v>
      </c>
      <c r="J1819" s="33" t="s">
        <v>144</v>
      </c>
    </row>
    <row r="1820" spans="1:10" x14ac:dyDescent="0.25">
      <c r="A1820" t="s">
        <v>29</v>
      </c>
      <c r="B1820">
        <v>1</v>
      </c>
      <c r="C1820" t="s">
        <v>30</v>
      </c>
      <c r="D1820" t="s">
        <v>31</v>
      </c>
      <c r="E1820" s="2">
        <v>112</v>
      </c>
      <c r="F1820">
        <v>12</v>
      </c>
      <c r="G1820">
        <v>100</v>
      </c>
      <c r="H1820">
        <v>0</v>
      </c>
      <c r="I1820" t="s">
        <v>32</v>
      </c>
      <c r="J1820" s="33" t="s">
        <v>144</v>
      </c>
    </row>
    <row r="1821" spans="1:10" x14ac:dyDescent="0.25">
      <c r="A1821" t="s">
        <v>54</v>
      </c>
      <c r="B1821">
        <v>4</v>
      </c>
      <c r="C1821" t="s">
        <v>30</v>
      </c>
      <c r="D1821" t="s">
        <v>61</v>
      </c>
      <c r="E1821" s="2">
        <v>112</v>
      </c>
      <c r="F1821">
        <v>25</v>
      </c>
      <c r="G1821">
        <v>87</v>
      </c>
      <c r="H1821">
        <v>0</v>
      </c>
      <c r="I1821" t="s">
        <v>32</v>
      </c>
      <c r="J1821" s="33" t="s">
        <v>144</v>
      </c>
    </row>
    <row r="1822" spans="1:10" x14ac:dyDescent="0.25">
      <c r="A1822" t="s">
        <v>29</v>
      </c>
      <c r="B1822">
        <v>1</v>
      </c>
      <c r="C1822" t="s">
        <v>34</v>
      </c>
      <c r="D1822" t="s">
        <v>35</v>
      </c>
      <c r="E1822" s="2">
        <v>113</v>
      </c>
      <c r="F1822">
        <v>35</v>
      </c>
      <c r="G1822">
        <v>78</v>
      </c>
      <c r="H1822">
        <v>0</v>
      </c>
      <c r="I1822" t="s">
        <v>32</v>
      </c>
      <c r="J1822" s="33" t="s">
        <v>144</v>
      </c>
    </row>
    <row r="1823" spans="1:10" x14ac:dyDescent="0.25">
      <c r="A1823" t="s">
        <v>42</v>
      </c>
      <c r="B1823">
        <v>4</v>
      </c>
      <c r="C1823" t="s">
        <v>30</v>
      </c>
      <c r="D1823" t="s">
        <v>51</v>
      </c>
      <c r="E1823" s="2">
        <v>113</v>
      </c>
      <c r="F1823">
        <v>0</v>
      </c>
      <c r="G1823">
        <v>113</v>
      </c>
      <c r="H1823">
        <v>1.6</v>
      </c>
      <c r="I1823" t="s">
        <v>32</v>
      </c>
      <c r="J1823" s="33" t="s">
        <v>144</v>
      </c>
    </row>
    <row r="1824" spans="1:10" x14ac:dyDescent="0.25">
      <c r="A1824" t="s">
        <v>63</v>
      </c>
      <c r="B1824">
        <v>5</v>
      </c>
      <c r="C1824" t="s">
        <v>34</v>
      </c>
      <c r="D1824" t="s">
        <v>65</v>
      </c>
      <c r="E1824" s="2">
        <v>113</v>
      </c>
      <c r="F1824">
        <v>16</v>
      </c>
      <c r="G1824">
        <v>97</v>
      </c>
      <c r="H1824">
        <v>0</v>
      </c>
      <c r="I1824" t="s">
        <v>32</v>
      </c>
      <c r="J1824" s="33" t="s">
        <v>144</v>
      </c>
    </row>
    <row r="1825" spans="1:10" x14ac:dyDescent="0.25">
      <c r="A1825" t="s">
        <v>71</v>
      </c>
      <c r="B1825">
        <v>11</v>
      </c>
      <c r="C1825" t="s">
        <v>30</v>
      </c>
      <c r="D1825" t="s">
        <v>76</v>
      </c>
      <c r="E1825" s="2">
        <v>113</v>
      </c>
      <c r="F1825">
        <v>0</v>
      </c>
      <c r="G1825">
        <v>113</v>
      </c>
      <c r="H1825">
        <v>1.6</v>
      </c>
      <c r="I1825" t="s">
        <v>33</v>
      </c>
      <c r="J1825" s="33" t="s">
        <v>144</v>
      </c>
    </row>
    <row r="1826" spans="1:10" x14ac:dyDescent="0.25">
      <c r="A1826" t="s">
        <v>42</v>
      </c>
      <c r="B1826">
        <v>5</v>
      </c>
      <c r="C1826" t="s">
        <v>34</v>
      </c>
      <c r="D1826" t="s">
        <v>48</v>
      </c>
      <c r="E1826" s="2">
        <v>114</v>
      </c>
      <c r="F1826">
        <v>6</v>
      </c>
      <c r="G1826">
        <v>108</v>
      </c>
      <c r="H1826">
        <v>7.3</v>
      </c>
      <c r="I1826" t="s">
        <v>33</v>
      </c>
      <c r="J1826" s="33" t="s">
        <v>144</v>
      </c>
    </row>
    <row r="1827" spans="1:10" x14ac:dyDescent="0.25">
      <c r="A1827" t="s">
        <v>42</v>
      </c>
      <c r="B1827">
        <v>3</v>
      </c>
      <c r="C1827" t="s">
        <v>34</v>
      </c>
      <c r="D1827" t="s">
        <v>50</v>
      </c>
      <c r="E1827" s="2">
        <v>114</v>
      </c>
      <c r="F1827">
        <v>0</v>
      </c>
      <c r="G1827">
        <v>114</v>
      </c>
      <c r="H1827">
        <v>10.1</v>
      </c>
      <c r="I1827" t="s">
        <v>33</v>
      </c>
      <c r="J1827" s="33" t="s">
        <v>144</v>
      </c>
    </row>
    <row r="1828" spans="1:10" x14ac:dyDescent="0.25">
      <c r="A1828" t="s">
        <v>42</v>
      </c>
      <c r="B1828">
        <v>3</v>
      </c>
      <c r="C1828" t="s">
        <v>34</v>
      </c>
      <c r="D1828" t="s">
        <v>50</v>
      </c>
      <c r="E1828" s="2">
        <v>114</v>
      </c>
      <c r="F1828">
        <v>0</v>
      </c>
      <c r="G1828">
        <v>114</v>
      </c>
      <c r="H1828">
        <v>1.3</v>
      </c>
      <c r="I1828" t="s">
        <v>33</v>
      </c>
      <c r="J1828" s="33" t="s">
        <v>144</v>
      </c>
    </row>
    <row r="1829" spans="1:10" x14ac:dyDescent="0.25">
      <c r="A1829" t="s">
        <v>42</v>
      </c>
      <c r="B1829">
        <v>3</v>
      </c>
      <c r="C1829" t="s">
        <v>34</v>
      </c>
      <c r="D1829" t="s">
        <v>50</v>
      </c>
      <c r="E1829" s="2">
        <v>114</v>
      </c>
      <c r="F1829">
        <v>0</v>
      </c>
      <c r="G1829">
        <v>114</v>
      </c>
      <c r="H1829">
        <v>14.1</v>
      </c>
      <c r="I1829" t="s">
        <v>33</v>
      </c>
      <c r="J1829" s="33" t="s">
        <v>144</v>
      </c>
    </row>
    <row r="1830" spans="1:10" x14ac:dyDescent="0.25">
      <c r="A1830" t="s">
        <v>68</v>
      </c>
      <c r="B1830">
        <v>6</v>
      </c>
      <c r="C1830" t="s">
        <v>34</v>
      </c>
      <c r="D1830" t="s">
        <v>70</v>
      </c>
      <c r="E1830" s="2">
        <v>114</v>
      </c>
      <c r="F1830">
        <v>0</v>
      </c>
      <c r="G1830">
        <v>114</v>
      </c>
      <c r="H1830">
        <v>1.7</v>
      </c>
      <c r="I1830" t="s">
        <v>33</v>
      </c>
      <c r="J1830" s="33" t="s">
        <v>144</v>
      </c>
    </row>
    <row r="1831" spans="1:10" x14ac:dyDescent="0.25">
      <c r="A1831" t="s">
        <v>71</v>
      </c>
      <c r="B1831">
        <v>10</v>
      </c>
      <c r="C1831" t="s">
        <v>34</v>
      </c>
      <c r="D1831" t="s">
        <v>75</v>
      </c>
      <c r="E1831" s="2">
        <v>114</v>
      </c>
      <c r="F1831">
        <v>12</v>
      </c>
      <c r="G1831">
        <v>102</v>
      </c>
      <c r="H1831">
        <v>0</v>
      </c>
      <c r="I1831" t="s">
        <v>32</v>
      </c>
      <c r="J1831" s="33" t="s">
        <v>144</v>
      </c>
    </row>
    <row r="1832" spans="1:10" x14ac:dyDescent="0.25">
      <c r="A1832" t="s">
        <v>29</v>
      </c>
      <c r="B1832">
        <v>3</v>
      </c>
      <c r="C1832" t="s">
        <v>34</v>
      </c>
      <c r="D1832" t="s">
        <v>39</v>
      </c>
      <c r="E1832" s="2">
        <v>115</v>
      </c>
      <c r="F1832">
        <v>0</v>
      </c>
      <c r="G1832">
        <v>115</v>
      </c>
      <c r="H1832">
        <v>10.5</v>
      </c>
      <c r="I1832" t="s">
        <v>33</v>
      </c>
      <c r="J1832" s="33" t="s">
        <v>144</v>
      </c>
    </row>
    <row r="1833" spans="1:10" x14ac:dyDescent="0.25">
      <c r="A1833" t="s">
        <v>42</v>
      </c>
      <c r="B1833">
        <v>3</v>
      </c>
      <c r="C1833" t="s">
        <v>34</v>
      </c>
      <c r="D1833" t="s">
        <v>50</v>
      </c>
      <c r="E1833" s="2">
        <v>117</v>
      </c>
      <c r="F1833">
        <v>0</v>
      </c>
      <c r="G1833">
        <v>117</v>
      </c>
      <c r="H1833">
        <v>1.4</v>
      </c>
      <c r="I1833" t="s">
        <v>33</v>
      </c>
      <c r="J1833" s="33" t="s">
        <v>144</v>
      </c>
    </row>
    <row r="1834" spans="1:10" x14ac:dyDescent="0.25">
      <c r="A1834" t="s">
        <v>42</v>
      </c>
      <c r="B1834">
        <v>3</v>
      </c>
      <c r="C1834" t="s">
        <v>34</v>
      </c>
      <c r="D1834" t="s">
        <v>50</v>
      </c>
      <c r="E1834" s="2">
        <v>117</v>
      </c>
      <c r="F1834">
        <v>0</v>
      </c>
      <c r="G1834">
        <v>117</v>
      </c>
      <c r="H1834">
        <v>0.7</v>
      </c>
      <c r="I1834" t="s">
        <v>32</v>
      </c>
      <c r="J1834" s="33" t="s">
        <v>144</v>
      </c>
    </row>
    <row r="1835" spans="1:10" x14ac:dyDescent="0.25">
      <c r="A1835" t="s">
        <v>42</v>
      </c>
      <c r="B1835">
        <v>3</v>
      </c>
      <c r="C1835" t="s">
        <v>34</v>
      </c>
      <c r="D1835" t="s">
        <v>50</v>
      </c>
      <c r="E1835" s="2">
        <v>117</v>
      </c>
      <c r="F1835">
        <v>33</v>
      </c>
      <c r="G1835">
        <v>84</v>
      </c>
      <c r="H1835">
        <v>0</v>
      </c>
      <c r="I1835" t="s">
        <v>32</v>
      </c>
      <c r="J1835" s="33" t="s">
        <v>144</v>
      </c>
    </row>
    <row r="1836" spans="1:10" x14ac:dyDescent="0.25">
      <c r="A1836" t="s">
        <v>54</v>
      </c>
      <c r="B1836">
        <v>4</v>
      </c>
      <c r="C1836" t="s">
        <v>34</v>
      </c>
      <c r="D1836" t="s">
        <v>62</v>
      </c>
      <c r="E1836" s="2">
        <v>117</v>
      </c>
      <c r="F1836">
        <v>21</v>
      </c>
      <c r="G1836">
        <v>96</v>
      </c>
      <c r="H1836">
        <v>0</v>
      </c>
      <c r="I1836" t="s">
        <v>32</v>
      </c>
      <c r="J1836" s="33" t="s">
        <v>144</v>
      </c>
    </row>
    <row r="1837" spans="1:10" x14ac:dyDescent="0.25">
      <c r="A1837" t="s">
        <v>42</v>
      </c>
      <c r="B1837">
        <v>5</v>
      </c>
      <c r="C1837" t="s">
        <v>34</v>
      </c>
      <c r="D1837" t="s">
        <v>48</v>
      </c>
      <c r="E1837" s="2">
        <v>118</v>
      </c>
      <c r="F1837">
        <v>0</v>
      </c>
      <c r="G1837">
        <v>118</v>
      </c>
      <c r="H1837">
        <v>14.7</v>
      </c>
      <c r="I1837" t="s">
        <v>33</v>
      </c>
      <c r="J1837" s="33" t="s">
        <v>144</v>
      </c>
    </row>
    <row r="1838" spans="1:10" x14ac:dyDescent="0.25">
      <c r="A1838" t="s">
        <v>54</v>
      </c>
      <c r="B1838">
        <v>4</v>
      </c>
      <c r="C1838" t="s">
        <v>30</v>
      </c>
      <c r="D1838" t="s">
        <v>61</v>
      </c>
      <c r="E1838" s="2">
        <v>118</v>
      </c>
      <c r="F1838">
        <v>26</v>
      </c>
      <c r="G1838">
        <v>92</v>
      </c>
      <c r="H1838">
        <v>0</v>
      </c>
      <c r="I1838" t="s">
        <v>32</v>
      </c>
      <c r="J1838" s="33" t="s">
        <v>144</v>
      </c>
    </row>
    <row r="1839" spans="1:10" x14ac:dyDescent="0.25">
      <c r="A1839" t="s">
        <v>54</v>
      </c>
      <c r="B1839">
        <v>4</v>
      </c>
      <c r="C1839" t="s">
        <v>34</v>
      </c>
      <c r="D1839" t="s">
        <v>62</v>
      </c>
      <c r="E1839" s="2">
        <v>118</v>
      </c>
      <c r="F1839">
        <v>22</v>
      </c>
      <c r="G1839">
        <v>96</v>
      </c>
      <c r="H1839">
        <v>0</v>
      </c>
      <c r="I1839" t="s">
        <v>32</v>
      </c>
      <c r="J1839" s="33" t="s">
        <v>144</v>
      </c>
    </row>
    <row r="1840" spans="1:10" x14ac:dyDescent="0.25">
      <c r="A1840" t="s">
        <v>63</v>
      </c>
      <c r="B1840">
        <v>5</v>
      </c>
      <c r="C1840" t="s">
        <v>34</v>
      </c>
      <c r="D1840" t="s">
        <v>65</v>
      </c>
      <c r="E1840" s="2">
        <v>119</v>
      </c>
      <c r="F1840">
        <v>12</v>
      </c>
      <c r="G1840">
        <v>107</v>
      </c>
      <c r="H1840">
        <v>0</v>
      </c>
      <c r="I1840" t="s">
        <v>32</v>
      </c>
      <c r="J1840" s="33" t="s">
        <v>144</v>
      </c>
    </row>
    <row r="1841" spans="1:10" x14ac:dyDescent="0.25">
      <c r="A1841" t="s">
        <v>29</v>
      </c>
      <c r="B1841">
        <v>1</v>
      </c>
      <c r="C1841" t="s">
        <v>34</v>
      </c>
      <c r="D1841" t="s">
        <v>35</v>
      </c>
      <c r="E1841" s="2">
        <v>120</v>
      </c>
      <c r="F1841">
        <v>6</v>
      </c>
      <c r="G1841">
        <v>114</v>
      </c>
      <c r="H1841">
        <v>0.6</v>
      </c>
      <c r="I1841" t="s">
        <v>32</v>
      </c>
      <c r="J1841" s="33" t="s">
        <v>144</v>
      </c>
    </row>
    <row r="1842" spans="1:10" x14ac:dyDescent="0.25">
      <c r="A1842" t="s">
        <v>29</v>
      </c>
      <c r="B1842">
        <v>4</v>
      </c>
      <c r="C1842" t="s">
        <v>30</v>
      </c>
      <c r="D1842" t="s">
        <v>40</v>
      </c>
      <c r="E1842" s="2">
        <v>120</v>
      </c>
      <c r="F1842">
        <v>5</v>
      </c>
      <c r="G1842">
        <v>115</v>
      </c>
      <c r="H1842">
        <v>16.7</v>
      </c>
      <c r="I1842" t="s">
        <v>33</v>
      </c>
      <c r="J1842" s="33" t="s">
        <v>144</v>
      </c>
    </row>
    <row r="1843" spans="1:10" x14ac:dyDescent="0.25">
      <c r="A1843" t="s">
        <v>52</v>
      </c>
      <c r="B1843">
        <v>4</v>
      </c>
      <c r="C1843" t="s">
        <v>34</v>
      </c>
      <c r="D1843" t="s">
        <v>53</v>
      </c>
      <c r="E1843" s="2">
        <v>120</v>
      </c>
      <c r="F1843">
        <v>0</v>
      </c>
      <c r="G1843">
        <v>120</v>
      </c>
      <c r="H1843">
        <v>5.4</v>
      </c>
      <c r="I1843" t="s">
        <v>33</v>
      </c>
      <c r="J1843" s="33" t="s">
        <v>144</v>
      </c>
    </row>
    <row r="1844" spans="1:10" x14ac:dyDescent="0.25">
      <c r="A1844" t="s">
        <v>63</v>
      </c>
      <c r="B1844">
        <v>5</v>
      </c>
      <c r="C1844" t="s">
        <v>34</v>
      </c>
      <c r="D1844" t="s">
        <v>65</v>
      </c>
      <c r="E1844" s="2">
        <v>120</v>
      </c>
      <c r="F1844">
        <v>0</v>
      </c>
      <c r="G1844">
        <v>120</v>
      </c>
      <c r="H1844">
        <v>0.4</v>
      </c>
      <c r="I1844" t="s">
        <v>32</v>
      </c>
      <c r="J1844" s="33" t="s">
        <v>144</v>
      </c>
    </row>
    <row r="1845" spans="1:10" x14ac:dyDescent="0.25">
      <c r="A1845" t="s">
        <v>68</v>
      </c>
      <c r="B1845">
        <v>6</v>
      </c>
      <c r="C1845" t="s">
        <v>34</v>
      </c>
      <c r="D1845" t="s">
        <v>70</v>
      </c>
      <c r="E1845" s="2">
        <v>120</v>
      </c>
      <c r="F1845">
        <v>23</v>
      </c>
      <c r="G1845">
        <v>97</v>
      </c>
      <c r="H1845">
        <v>0</v>
      </c>
      <c r="I1845" t="s">
        <v>32</v>
      </c>
      <c r="J1845" s="33" t="s">
        <v>144</v>
      </c>
    </row>
    <row r="1846" spans="1:10" x14ac:dyDescent="0.25">
      <c r="A1846" t="s">
        <v>42</v>
      </c>
      <c r="B1846">
        <v>1</v>
      </c>
      <c r="C1846" t="s">
        <v>30</v>
      </c>
      <c r="D1846" t="s">
        <v>43</v>
      </c>
      <c r="E1846" s="2">
        <v>121</v>
      </c>
      <c r="F1846">
        <v>121</v>
      </c>
      <c r="G1846">
        <v>121</v>
      </c>
      <c r="H1846">
        <v>0</v>
      </c>
      <c r="I1846" t="s">
        <v>32</v>
      </c>
      <c r="J1846" s="33" t="s">
        <v>144</v>
      </c>
    </row>
    <row r="1847" spans="1:10" x14ac:dyDescent="0.25">
      <c r="A1847" t="s">
        <v>42</v>
      </c>
      <c r="B1847">
        <v>5</v>
      </c>
      <c r="C1847" t="s">
        <v>30</v>
      </c>
      <c r="D1847" t="s">
        <v>47</v>
      </c>
      <c r="E1847" s="2">
        <v>121</v>
      </c>
      <c r="F1847">
        <v>0</v>
      </c>
      <c r="G1847">
        <v>121</v>
      </c>
      <c r="H1847">
        <v>11.6</v>
      </c>
      <c r="I1847" t="s">
        <v>33</v>
      </c>
      <c r="J1847" s="33" t="s">
        <v>144</v>
      </c>
    </row>
    <row r="1848" spans="1:10" x14ac:dyDescent="0.25">
      <c r="A1848" t="s">
        <v>63</v>
      </c>
      <c r="B1848">
        <v>5</v>
      </c>
      <c r="C1848" t="s">
        <v>34</v>
      </c>
      <c r="D1848" t="s">
        <v>65</v>
      </c>
      <c r="E1848" s="2">
        <v>121</v>
      </c>
      <c r="F1848">
        <v>0</v>
      </c>
      <c r="G1848">
        <v>121</v>
      </c>
      <c r="H1848">
        <v>1</v>
      </c>
      <c r="I1848" t="s">
        <v>33</v>
      </c>
      <c r="J1848" s="33" t="s">
        <v>144</v>
      </c>
    </row>
    <row r="1849" spans="1:10" x14ac:dyDescent="0.25">
      <c r="A1849" t="s">
        <v>63</v>
      </c>
      <c r="B1849">
        <v>5</v>
      </c>
      <c r="C1849" t="s">
        <v>34</v>
      </c>
      <c r="D1849" t="s">
        <v>65</v>
      </c>
      <c r="E1849" s="2">
        <v>121</v>
      </c>
      <c r="F1849">
        <v>6</v>
      </c>
      <c r="G1849">
        <v>115</v>
      </c>
      <c r="H1849">
        <v>0.1</v>
      </c>
      <c r="I1849" t="s">
        <v>32</v>
      </c>
      <c r="J1849" s="33" t="s">
        <v>144</v>
      </c>
    </row>
    <row r="1850" spans="1:10" x14ac:dyDescent="0.25">
      <c r="A1850" t="s">
        <v>42</v>
      </c>
      <c r="B1850">
        <v>1</v>
      </c>
      <c r="C1850" t="s">
        <v>34</v>
      </c>
      <c r="D1850" t="s">
        <v>44</v>
      </c>
      <c r="E1850" s="2">
        <v>123</v>
      </c>
      <c r="F1850">
        <v>43</v>
      </c>
      <c r="G1850">
        <v>80</v>
      </c>
      <c r="H1850">
        <v>0</v>
      </c>
      <c r="I1850" t="s">
        <v>32</v>
      </c>
      <c r="J1850" s="33" t="s">
        <v>144</v>
      </c>
    </row>
    <row r="1851" spans="1:10" x14ac:dyDescent="0.25">
      <c r="A1851" t="s">
        <v>42</v>
      </c>
      <c r="B1851">
        <v>3</v>
      </c>
      <c r="C1851" t="s">
        <v>34</v>
      </c>
      <c r="D1851" t="s">
        <v>50</v>
      </c>
      <c r="E1851" s="2">
        <v>123</v>
      </c>
      <c r="F1851">
        <v>0</v>
      </c>
      <c r="G1851">
        <v>123</v>
      </c>
      <c r="H1851">
        <v>12.9</v>
      </c>
      <c r="I1851" t="s">
        <v>33</v>
      </c>
      <c r="J1851" s="33" t="s">
        <v>144</v>
      </c>
    </row>
    <row r="1852" spans="1:10" x14ac:dyDescent="0.25">
      <c r="A1852" t="s">
        <v>63</v>
      </c>
      <c r="B1852">
        <v>1</v>
      </c>
      <c r="C1852" t="s">
        <v>34</v>
      </c>
      <c r="D1852" t="s">
        <v>67</v>
      </c>
      <c r="E1852" s="2">
        <v>123</v>
      </c>
      <c r="F1852">
        <v>8</v>
      </c>
      <c r="G1852">
        <v>115</v>
      </c>
      <c r="H1852">
        <v>0.1</v>
      </c>
      <c r="I1852" t="s">
        <v>32</v>
      </c>
      <c r="J1852" s="33" t="s">
        <v>144</v>
      </c>
    </row>
    <row r="1853" spans="1:10" x14ac:dyDescent="0.25">
      <c r="A1853" t="s">
        <v>71</v>
      </c>
      <c r="B1853">
        <v>11</v>
      </c>
      <c r="C1853" t="s">
        <v>30</v>
      </c>
      <c r="D1853" t="s">
        <v>76</v>
      </c>
      <c r="E1853" s="2">
        <v>123</v>
      </c>
      <c r="F1853">
        <v>52</v>
      </c>
      <c r="G1853">
        <v>71</v>
      </c>
      <c r="H1853">
        <v>0</v>
      </c>
      <c r="I1853" t="s">
        <v>32</v>
      </c>
      <c r="J1853" s="33" t="s">
        <v>144</v>
      </c>
    </row>
    <row r="1854" spans="1:10" x14ac:dyDescent="0.25">
      <c r="A1854" t="s">
        <v>71</v>
      </c>
      <c r="B1854">
        <v>11</v>
      </c>
      <c r="C1854" t="s">
        <v>30</v>
      </c>
      <c r="D1854" t="s">
        <v>76</v>
      </c>
      <c r="E1854" s="2">
        <v>123</v>
      </c>
      <c r="F1854">
        <v>8</v>
      </c>
      <c r="G1854">
        <v>115</v>
      </c>
      <c r="H1854">
        <v>0.3</v>
      </c>
      <c r="I1854" t="s">
        <v>32</v>
      </c>
      <c r="J1854" s="33" t="s">
        <v>144</v>
      </c>
    </row>
    <row r="1855" spans="1:10" x14ac:dyDescent="0.25">
      <c r="A1855" t="s">
        <v>42</v>
      </c>
      <c r="B1855">
        <v>1</v>
      </c>
      <c r="C1855" t="s">
        <v>34</v>
      </c>
      <c r="D1855" t="s">
        <v>44</v>
      </c>
      <c r="E1855" s="2">
        <v>124</v>
      </c>
      <c r="F1855">
        <v>0</v>
      </c>
      <c r="G1855">
        <v>124</v>
      </c>
      <c r="H1855">
        <v>2.6</v>
      </c>
      <c r="I1855" t="s">
        <v>33</v>
      </c>
      <c r="J1855" s="33" t="s">
        <v>144</v>
      </c>
    </row>
    <row r="1856" spans="1:10" x14ac:dyDescent="0.25">
      <c r="A1856" t="s">
        <v>42</v>
      </c>
      <c r="B1856">
        <v>3</v>
      </c>
      <c r="C1856" t="s">
        <v>30</v>
      </c>
      <c r="D1856" t="s">
        <v>49</v>
      </c>
      <c r="E1856" s="2">
        <v>124</v>
      </c>
      <c r="F1856">
        <v>0</v>
      </c>
      <c r="G1856">
        <v>124</v>
      </c>
      <c r="H1856">
        <v>8</v>
      </c>
      <c r="I1856" t="s">
        <v>33</v>
      </c>
      <c r="J1856" s="33" t="s">
        <v>144</v>
      </c>
    </row>
    <row r="1857" spans="1:10" x14ac:dyDescent="0.25">
      <c r="A1857" t="s">
        <v>54</v>
      </c>
      <c r="B1857">
        <v>1</v>
      </c>
      <c r="C1857" t="s">
        <v>30</v>
      </c>
      <c r="D1857" t="s">
        <v>55</v>
      </c>
      <c r="E1857" s="2">
        <v>124</v>
      </c>
      <c r="F1857">
        <v>21</v>
      </c>
      <c r="G1857">
        <v>103</v>
      </c>
      <c r="H1857">
        <v>0</v>
      </c>
      <c r="I1857" t="s">
        <v>32</v>
      </c>
      <c r="J1857" s="33" t="s">
        <v>144</v>
      </c>
    </row>
    <row r="1858" spans="1:10" x14ac:dyDescent="0.25">
      <c r="A1858" t="s">
        <v>29</v>
      </c>
      <c r="B1858">
        <v>3</v>
      </c>
      <c r="C1858" t="s">
        <v>34</v>
      </c>
      <c r="D1858" t="s">
        <v>39</v>
      </c>
      <c r="E1858" s="2">
        <v>125</v>
      </c>
      <c r="F1858">
        <v>35</v>
      </c>
      <c r="G1858">
        <v>90</v>
      </c>
      <c r="H1858">
        <v>0</v>
      </c>
      <c r="I1858" t="s">
        <v>32</v>
      </c>
      <c r="J1858" s="33" t="s">
        <v>144</v>
      </c>
    </row>
    <row r="1859" spans="1:10" x14ac:dyDescent="0.25">
      <c r="A1859" t="s">
        <v>42</v>
      </c>
      <c r="B1859">
        <v>3</v>
      </c>
      <c r="C1859" t="s">
        <v>30</v>
      </c>
      <c r="D1859" t="s">
        <v>49</v>
      </c>
      <c r="E1859" s="2">
        <v>125</v>
      </c>
      <c r="F1859">
        <v>21</v>
      </c>
      <c r="G1859">
        <v>104</v>
      </c>
      <c r="H1859">
        <v>0</v>
      </c>
      <c r="I1859" t="s">
        <v>32</v>
      </c>
      <c r="J1859" s="33" t="s">
        <v>144</v>
      </c>
    </row>
    <row r="1860" spans="1:10" x14ac:dyDescent="0.25">
      <c r="A1860" t="s">
        <v>42</v>
      </c>
      <c r="B1860">
        <v>3</v>
      </c>
      <c r="C1860" t="s">
        <v>30</v>
      </c>
      <c r="D1860" t="s">
        <v>49</v>
      </c>
      <c r="E1860" s="2">
        <v>125</v>
      </c>
      <c r="F1860">
        <v>0</v>
      </c>
      <c r="G1860">
        <v>125</v>
      </c>
      <c r="H1860">
        <v>0.4</v>
      </c>
      <c r="I1860" t="s">
        <v>32</v>
      </c>
      <c r="J1860" s="33" t="s">
        <v>144</v>
      </c>
    </row>
    <row r="1861" spans="1:10" x14ac:dyDescent="0.25">
      <c r="A1861" t="s">
        <v>63</v>
      </c>
      <c r="B1861">
        <v>5</v>
      </c>
      <c r="C1861" t="s">
        <v>34</v>
      </c>
      <c r="D1861" t="s">
        <v>65</v>
      </c>
      <c r="E1861" s="2">
        <v>125</v>
      </c>
      <c r="F1861">
        <v>14</v>
      </c>
      <c r="G1861">
        <v>111</v>
      </c>
      <c r="H1861">
        <v>0</v>
      </c>
      <c r="I1861" t="s">
        <v>32</v>
      </c>
      <c r="J1861" s="33" t="s">
        <v>144</v>
      </c>
    </row>
    <row r="1862" spans="1:10" x14ac:dyDescent="0.25">
      <c r="A1862" t="s">
        <v>63</v>
      </c>
      <c r="B1862">
        <v>1</v>
      </c>
      <c r="C1862" t="s">
        <v>34</v>
      </c>
      <c r="D1862" t="s">
        <v>67</v>
      </c>
      <c r="E1862" s="2">
        <v>125</v>
      </c>
      <c r="F1862">
        <v>0</v>
      </c>
      <c r="G1862">
        <v>125</v>
      </c>
      <c r="H1862">
        <v>12.3</v>
      </c>
      <c r="I1862" t="s">
        <v>33</v>
      </c>
      <c r="J1862" s="33" t="s">
        <v>144</v>
      </c>
    </row>
    <row r="1863" spans="1:10" x14ac:dyDescent="0.25">
      <c r="A1863" t="s">
        <v>42</v>
      </c>
      <c r="B1863">
        <v>4</v>
      </c>
      <c r="C1863" t="s">
        <v>30</v>
      </c>
      <c r="D1863" t="s">
        <v>51</v>
      </c>
      <c r="E1863" s="2">
        <v>126</v>
      </c>
      <c r="F1863">
        <v>0</v>
      </c>
      <c r="G1863">
        <v>126</v>
      </c>
      <c r="H1863">
        <v>2.7</v>
      </c>
      <c r="I1863" t="s">
        <v>33</v>
      </c>
      <c r="J1863" s="33" t="s">
        <v>144</v>
      </c>
    </row>
    <row r="1864" spans="1:10" x14ac:dyDescent="0.25">
      <c r="A1864" t="s">
        <v>52</v>
      </c>
      <c r="B1864">
        <v>4</v>
      </c>
      <c r="C1864" t="s">
        <v>34</v>
      </c>
      <c r="D1864" t="s">
        <v>53</v>
      </c>
      <c r="E1864" s="2">
        <v>128</v>
      </c>
      <c r="F1864">
        <v>0</v>
      </c>
      <c r="G1864">
        <v>128</v>
      </c>
      <c r="H1864">
        <v>7.3</v>
      </c>
      <c r="I1864" t="s">
        <v>33</v>
      </c>
      <c r="J1864" s="33" t="s">
        <v>144</v>
      </c>
    </row>
    <row r="1865" spans="1:10" x14ac:dyDescent="0.25">
      <c r="A1865" t="s">
        <v>63</v>
      </c>
      <c r="B1865">
        <v>1</v>
      </c>
      <c r="C1865" t="s">
        <v>34</v>
      </c>
      <c r="D1865" t="s">
        <v>67</v>
      </c>
      <c r="E1865" s="2">
        <v>128</v>
      </c>
      <c r="F1865">
        <v>16</v>
      </c>
      <c r="G1865">
        <v>112</v>
      </c>
      <c r="H1865">
        <v>0</v>
      </c>
      <c r="I1865" t="s">
        <v>32</v>
      </c>
      <c r="J1865" s="33" t="s">
        <v>144</v>
      </c>
    </row>
    <row r="1866" spans="1:10" x14ac:dyDescent="0.25">
      <c r="A1866" t="s">
        <v>71</v>
      </c>
      <c r="B1866">
        <v>11</v>
      </c>
      <c r="C1866" t="s">
        <v>30</v>
      </c>
      <c r="D1866" t="s">
        <v>76</v>
      </c>
      <c r="E1866" s="2">
        <v>130</v>
      </c>
      <c r="F1866">
        <v>0</v>
      </c>
      <c r="G1866">
        <v>130</v>
      </c>
      <c r="H1866">
        <v>1.4</v>
      </c>
      <c r="I1866" t="s">
        <v>33</v>
      </c>
      <c r="J1866" s="33" t="s">
        <v>144</v>
      </c>
    </row>
    <row r="1867" spans="1:10" x14ac:dyDescent="0.25">
      <c r="A1867" t="s">
        <v>71</v>
      </c>
      <c r="B1867">
        <v>11</v>
      </c>
      <c r="C1867" t="s">
        <v>34</v>
      </c>
      <c r="D1867" t="s">
        <v>77</v>
      </c>
      <c r="E1867" s="2">
        <v>130</v>
      </c>
      <c r="F1867">
        <v>5</v>
      </c>
      <c r="G1867">
        <v>125</v>
      </c>
      <c r="H1867">
        <v>0.4</v>
      </c>
      <c r="I1867" t="s">
        <v>32</v>
      </c>
      <c r="J1867" s="33" t="s">
        <v>144</v>
      </c>
    </row>
    <row r="1868" spans="1:10" x14ac:dyDescent="0.25">
      <c r="A1868" t="s">
        <v>52</v>
      </c>
      <c r="B1868">
        <v>4</v>
      </c>
      <c r="C1868" t="s">
        <v>34</v>
      </c>
      <c r="D1868" t="s">
        <v>53</v>
      </c>
      <c r="E1868" s="2">
        <v>131</v>
      </c>
      <c r="F1868">
        <v>0</v>
      </c>
      <c r="G1868">
        <v>131</v>
      </c>
      <c r="H1868">
        <v>10</v>
      </c>
      <c r="I1868" t="s">
        <v>33</v>
      </c>
      <c r="J1868" s="33" t="s">
        <v>144</v>
      </c>
    </row>
    <row r="1869" spans="1:10" x14ac:dyDescent="0.25">
      <c r="A1869" t="s">
        <v>63</v>
      </c>
      <c r="B1869">
        <v>5</v>
      </c>
      <c r="C1869" t="s">
        <v>34</v>
      </c>
      <c r="D1869" t="s">
        <v>65</v>
      </c>
      <c r="E1869" s="2">
        <v>132</v>
      </c>
      <c r="F1869">
        <v>20</v>
      </c>
      <c r="G1869">
        <v>112</v>
      </c>
      <c r="H1869">
        <v>0</v>
      </c>
      <c r="I1869" t="s">
        <v>32</v>
      </c>
      <c r="J1869" s="33" t="s">
        <v>144</v>
      </c>
    </row>
    <row r="1870" spans="1:10" x14ac:dyDescent="0.25">
      <c r="A1870" t="s">
        <v>63</v>
      </c>
      <c r="B1870">
        <v>5</v>
      </c>
      <c r="C1870" t="s">
        <v>30</v>
      </c>
      <c r="D1870" t="s">
        <v>64</v>
      </c>
      <c r="E1870" s="2">
        <v>133</v>
      </c>
      <c r="F1870">
        <v>24</v>
      </c>
      <c r="G1870">
        <v>109</v>
      </c>
      <c r="H1870">
        <v>0</v>
      </c>
      <c r="I1870" t="s">
        <v>32</v>
      </c>
      <c r="J1870" s="33" t="s">
        <v>144</v>
      </c>
    </row>
    <row r="1871" spans="1:10" x14ac:dyDescent="0.25">
      <c r="A1871" t="s">
        <v>71</v>
      </c>
      <c r="B1871">
        <v>11</v>
      </c>
      <c r="C1871" t="s">
        <v>34</v>
      </c>
      <c r="D1871" t="s">
        <v>77</v>
      </c>
      <c r="E1871" s="2">
        <v>133</v>
      </c>
      <c r="F1871">
        <v>60</v>
      </c>
      <c r="G1871">
        <v>73</v>
      </c>
      <c r="H1871">
        <v>0</v>
      </c>
      <c r="I1871" t="s">
        <v>32</v>
      </c>
      <c r="J1871" s="33" t="s">
        <v>144</v>
      </c>
    </row>
    <row r="1872" spans="1:10" x14ac:dyDescent="0.25">
      <c r="A1872" t="s">
        <v>29</v>
      </c>
      <c r="B1872">
        <v>2</v>
      </c>
      <c r="C1872" t="s">
        <v>34</v>
      </c>
      <c r="D1872" t="s">
        <v>37</v>
      </c>
      <c r="E1872" s="2">
        <v>134</v>
      </c>
      <c r="F1872">
        <v>0</v>
      </c>
      <c r="G1872">
        <v>134</v>
      </c>
      <c r="H1872">
        <v>3.2</v>
      </c>
      <c r="I1872" t="s">
        <v>33</v>
      </c>
      <c r="J1872" s="33" t="s">
        <v>144</v>
      </c>
    </row>
    <row r="1873" spans="1:10" x14ac:dyDescent="0.25">
      <c r="A1873" t="s">
        <v>54</v>
      </c>
      <c r="B1873">
        <v>4</v>
      </c>
      <c r="C1873" t="s">
        <v>34</v>
      </c>
      <c r="D1873" t="s">
        <v>62</v>
      </c>
      <c r="E1873" s="2">
        <v>134</v>
      </c>
      <c r="F1873">
        <v>60</v>
      </c>
      <c r="G1873">
        <v>74</v>
      </c>
      <c r="H1873">
        <v>0</v>
      </c>
      <c r="I1873" t="s">
        <v>32</v>
      </c>
      <c r="J1873" s="33" t="s">
        <v>144</v>
      </c>
    </row>
    <row r="1874" spans="1:10" x14ac:dyDescent="0.25">
      <c r="A1874" t="s">
        <v>71</v>
      </c>
      <c r="B1874">
        <v>11</v>
      </c>
      <c r="C1874" t="s">
        <v>30</v>
      </c>
      <c r="D1874" t="s">
        <v>76</v>
      </c>
      <c r="E1874" s="2">
        <v>134</v>
      </c>
      <c r="F1874">
        <v>21</v>
      </c>
      <c r="G1874">
        <v>113</v>
      </c>
      <c r="H1874">
        <v>0</v>
      </c>
      <c r="I1874" t="s">
        <v>32</v>
      </c>
      <c r="J1874" s="33" t="s">
        <v>144</v>
      </c>
    </row>
    <row r="1875" spans="1:10" x14ac:dyDescent="0.25">
      <c r="A1875" t="s">
        <v>42</v>
      </c>
      <c r="B1875">
        <v>3</v>
      </c>
      <c r="C1875" t="s">
        <v>30</v>
      </c>
      <c r="D1875" t="s">
        <v>49</v>
      </c>
      <c r="E1875" s="2">
        <v>135</v>
      </c>
      <c r="F1875">
        <v>0</v>
      </c>
      <c r="G1875">
        <v>135</v>
      </c>
      <c r="H1875">
        <v>0.7</v>
      </c>
      <c r="I1875" t="s">
        <v>32</v>
      </c>
      <c r="J1875" s="33" t="s">
        <v>144</v>
      </c>
    </row>
    <row r="1876" spans="1:10" x14ac:dyDescent="0.25">
      <c r="A1876" t="s">
        <v>71</v>
      </c>
      <c r="B1876">
        <v>11</v>
      </c>
      <c r="C1876" t="s">
        <v>30</v>
      </c>
      <c r="D1876" t="s">
        <v>76</v>
      </c>
      <c r="E1876" s="2">
        <v>135</v>
      </c>
      <c r="F1876">
        <v>23</v>
      </c>
      <c r="G1876">
        <v>112</v>
      </c>
      <c r="H1876">
        <v>0</v>
      </c>
      <c r="I1876" t="s">
        <v>32</v>
      </c>
      <c r="J1876" s="33" t="s">
        <v>144</v>
      </c>
    </row>
    <row r="1877" spans="1:10" x14ac:dyDescent="0.25">
      <c r="A1877" t="s">
        <v>63</v>
      </c>
      <c r="B1877">
        <v>1</v>
      </c>
      <c r="C1877" t="s">
        <v>34</v>
      </c>
      <c r="D1877" t="s">
        <v>67</v>
      </c>
      <c r="E1877" s="2">
        <v>136</v>
      </c>
      <c r="F1877">
        <v>0</v>
      </c>
      <c r="G1877">
        <v>136</v>
      </c>
      <c r="H1877">
        <v>8</v>
      </c>
      <c r="I1877" t="s">
        <v>33</v>
      </c>
      <c r="J1877" s="33" t="s">
        <v>144</v>
      </c>
    </row>
    <row r="1878" spans="1:10" x14ac:dyDescent="0.25">
      <c r="A1878" t="s">
        <v>42</v>
      </c>
      <c r="B1878">
        <v>2</v>
      </c>
      <c r="C1878" t="s">
        <v>34</v>
      </c>
      <c r="D1878" t="s">
        <v>46</v>
      </c>
      <c r="E1878" s="2">
        <v>137</v>
      </c>
      <c r="F1878">
        <v>20</v>
      </c>
      <c r="G1878">
        <v>117</v>
      </c>
      <c r="H1878">
        <v>0</v>
      </c>
      <c r="I1878" t="s">
        <v>32</v>
      </c>
      <c r="J1878" s="33" t="s">
        <v>144</v>
      </c>
    </row>
    <row r="1879" spans="1:10" x14ac:dyDescent="0.25">
      <c r="A1879" t="s">
        <v>63</v>
      </c>
      <c r="B1879">
        <v>5</v>
      </c>
      <c r="C1879" t="s">
        <v>34</v>
      </c>
      <c r="D1879" t="s">
        <v>65</v>
      </c>
      <c r="E1879" s="2">
        <v>137</v>
      </c>
      <c r="F1879">
        <v>56</v>
      </c>
      <c r="G1879">
        <v>81</v>
      </c>
      <c r="H1879">
        <v>0</v>
      </c>
      <c r="I1879" t="s">
        <v>32</v>
      </c>
      <c r="J1879" s="33" t="s">
        <v>144</v>
      </c>
    </row>
    <row r="1880" spans="1:10" x14ac:dyDescent="0.25">
      <c r="A1880" t="s">
        <v>52</v>
      </c>
      <c r="B1880">
        <v>4</v>
      </c>
      <c r="C1880" t="s">
        <v>34</v>
      </c>
      <c r="D1880" t="s">
        <v>53</v>
      </c>
      <c r="E1880" s="2">
        <v>138</v>
      </c>
      <c r="F1880">
        <v>3</v>
      </c>
      <c r="G1880">
        <v>135</v>
      </c>
      <c r="H1880">
        <v>1.6</v>
      </c>
      <c r="I1880" t="s">
        <v>33</v>
      </c>
      <c r="J1880" s="33" t="s">
        <v>144</v>
      </c>
    </row>
    <row r="1881" spans="1:10" x14ac:dyDescent="0.25">
      <c r="A1881" t="s">
        <v>63</v>
      </c>
      <c r="B1881">
        <v>5</v>
      </c>
      <c r="C1881" t="s">
        <v>30</v>
      </c>
      <c r="D1881" t="s">
        <v>64</v>
      </c>
      <c r="E1881" s="2">
        <v>139</v>
      </c>
      <c r="F1881">
        <v>6</v>
      </c>
      <c r="G1881">
        <v>133</v>
      </c>
      <c r="H1881">
        <v>0.2</v>
      </c>
      <c r="I1881" t="s">
        <v>32</v>
      </c>
      <c r="J1881" s="33" t="s">
        <v>144</v>
      </c>
    </row>
    <row r="1882" spans="1:10" x14ac:dyDescent="0.25">
      <c r="A1882" t="s">
        <v>29</v>
      </c>
      <c r="B1882">
        <v>3</v>
      </c>
      <c r="C1882" t="s">
        <v>30</v>
      </c>
      <c r="D1882" t="s">
        <v>38</v>
      </c>
      <c r="E1882" s="2">
        <v>140</v>
      </c>
      <c r="F1882">
        <v>26</v>
      </c>
      <c r="G1882">
        <v>114</v>
      </c>
      <c r="H1882">
        <v>0</v>
      </c>
      <c r="I1882" t="s">
        <v>32</v>
      </c>
      <c r="J1882" s="33" t="s">
        <v>144</v>
      </c>
    </row>
    <row r="1883" spans="1:10" x14ac:dyDescent="0.25">
      <c r="A1883" t="s">
        <v>42</v>
      </c>
      <c r="B1883">
        <v>1</v>
      </c>
      <c r="C1883" t="s">
        <v>30</v>
      </c>
      <c r="D1883" t="s">
        <v>43</v>
      </c>
      <c r="E1883" s="2">
        <v>140</v>
      </c>
      <c r="F1883">
        <v>140</v>
      </c>
      <c r="G1883">
        <v>0</v>
      </c>
      <c r="H1883">
        <v>0</v>
      </c>
      <c r="I1883" t="s">
        <v>32</v>
      </c>
      <c r="J1883" s="33" t="s">
        <v>144</v>
      </c>
    </row>
    <row r="1884" spans="1:10" x14ac:dyDescent="0.25">
      <c r="A1884" t="s">
        <v>63</v>
      </c>
      <c r="B1884">
        <v>5</v>
      </c>
      <c r="C1884" t="s">
        <v>34</v>
      </c>
      <c r="D1884" t="s">
        <v>65</v>
      </c>
      <c r="E1884" s="2">
        <v>140</v>
      </c>
      <c r="F1884">
        <v>41</v>
      </c>
      <c r="G1884">
        <v>99</v>
      </c>
      <c r="H1884">
        <v>0</v>
      </c>
      <c r="I1884" t="s">
        <v>32</v>
      </c>
      <c r="J1884" s="33" t="s">
        <v>144</v>
      </c>
    </row>
    <row r="1885" spans="1:10" x14ac:dyDescent="0.25">
      <c r="A1885" t="s">
        <v>63</v>
      </c>
      <c r="B1885">
        <v>5</v>
      </c>
      <c r="C1885" t="s">
        <v>34</v>
      </c>
      <c r="D1885" t="s">
        <v>65</v>
      </c>
      <c r="E1885" s="2">
        <v>140</v>
      </c>
      <c r="F1885">
        <v>53</v>
      </c>
      <c r="G1885">
        <v>87</v>
      </c>
      <c r="H1885">
        <v>0</v>
      </c>
      <c r="I1885" t="s">
        <v>32</v>
      </c>
      <c r="J1885" s="33" t="s">
        <v>144</v>
      </c>
    </row>
    <row r="1886" spans="1:10" x14ac:dyDescent="0.25">
      <c r="A1886" t="s">
        <v>63</v>
      </c>
      <c r="B1886">
        <v>5</v>
      </c>
      <c r="C1886" t="s">
        <v>34</v>
      </c>
      <c r="D1886" t="s">
        <v>65</v>
      </c>
      <c r="E1886" s="2">
        <v>140</v>
      </c>
      <c r="F1886">
        <v>17</v>
      </c>
      <c r="G1886">
        <v>123</v>
      </c>
      <c r="H1886">
        <v>0</v>
      </c>
      <c r="I1886" t="s">
        <v>32</v>
      </c>
      <c r="J1886" s="33" t="s">
        <v>144</v>
      </c>
    </row>
    <row r="1887" spans="1:10" x14ac:dyDescent="0.25">
      <c r="A1887" t="s">
        <v>71</v>
      </c>
      <c r="B1887">
        <v>10</v>
      </c>
      <c r="C1887" t="s">
        <v>34</v>
      </c>
      <c r="D1887" t="s">
        <v>75</v>
      </c>
      <c r="E1887" s="2">
        <v>140</v>
      </c>
      <c r="F1887">
        <v>35</v>
      </c>
      <c r="G1887">
        <v>105</v>
      </c>
      <c r="H1887">
        <v>0</v>
      </c>
      <c r="I1887" t="s">
        <v>32</v>
      </c>
      <c r="J1887" s="33" t="s">
        <v>144</v>
      </c>
    </row>
    <row r="1888" spans="1:10" x14ac:dyDescent="0.25">
      <c r="A1888" t="s">
        <v>63</v>
      </c>
      <c r="B1888">
        <v>5</v>
      </c>
      <c r="C1888" t="s">
        <v>34</v>
      </c>
      <c r="D1888" t="s">
        <v>65</v>
      </c>
      <c r="E1888" s="2">
        <v>141</v>
      </c>
      <c r="F1888">
        <v>33</v>
      </c>
      <c r="G1888">
        <v>108</v>
      </c>
      <c r="H1888">
        <v>0</v>
      </c>
      <c r="I1888" t="s">
        <v>32</v>
      </c>
      <c r="J1888" s="33" t="s">
        <v>144</v>
      </c>
    </row>
    <row r="1889" spans="1:10" x14ac:dyDescent="0.25">
      <c r="A1889" t="s">
        <v>63</v>
      </c>
      <c r="B1889">
        <v>5</v>
      </c>
      <c r="C1889" t="s">
        <v>34</v>
      </c>
      <c r="D1889" t="s">
        <v>65</v>
      </c>
      <c r="E1889" s="2">
        <v>141</v>
      </c>
      <c r="F1889">
        <v>37</v>
      </c>
      <c r="G1889">
        <v>104</v>
      </c>
      <c r="H1889">
        <v>0</v>
      </c>
      <c r="I1889" t="s">
        <v>32</v>
      </c>
      <c r="J1889" s="33" t="s">
        <v>144</v>
      </c>
    </row>
    <row r="1890" spans="1:10" x14ac:dyDescent="0.25">
      <c r="A1890" t="s">
        <v>42</v>
      </c>
      <c r="B1890">
        <v>1</v>
      </c>
      <c r="C1890" t="s">
        <v>30</v>
      </c>
      <c r="D1890" t="s">
        <v>43</v>
      </c>
      <c r="E1890" s="2">
        <v>142</v>
      </c>
      <c r="F1890">
        <v>142</v>
      </c>
      <c r="G1890">
        <v>0</v>
      </c>
      <c r="H1890">
        <v>0</v>
      </c>
      <c r="I1890" t="s">
        <v>32</v>
      </c>
      <c r="J1890" s="33" t="s">
        <v>144</v>
      </c>
    </row>
    <row r="1891" spans="1:10" x14ac:dyDescent="0.25">
      <c r="A1891" t="s">
        <v>42</v>
      </c>
      <c r="B1891">
        <v>1</v>
      </c>
      <c r="C1891" t="s">
        <v>34</v>
      </c>
      <c r="D1891" t="s">
        <v>44</v>
      </c>
      <c r="E1891" s="2">
        <v>142</v>
      </c>
      <c r="F1891">
        <v>56</v>
      </c>
      <c r="G1891">
        <v>86</v>
      </c>
      <c r="H1891">
        <v>0</v>
      </c>
      <c r="I1891" t="s">
        <v>32</v>
      </c>
      <c r="J1891" s="33" t="s">
        <v>144</v>
      </c>
    </row>
    <row r="1892" spans="1:10" x14ac:dyDescent="0.25">
      <c r="A1892" t="s">
        <v>42</v>
      </c>
      <c r="B1892">
        <v>2</v>
      </c>
      <c r="C1892" t="s">
        <v>34</v>
      </c>
      <c r="D1892" t="s">
        <v>46</v>
      </c>
      <c r="E1892" s="2">
        <v>143</v>
      </c>
      <c r="F1892">
        <v>37</v>
      </c>
      <c r="G1892">
        <v>106</v>
      </c>
      <c r="H1892">
        <v>0</v>
      </c>
      <c r="I1892" t="s">
        <v>32</v>
      </c>
      <c r="J1892" s="33" t="s">
        <v>144</v>
      </c>
    </row>
    <row r="1893" spans="1:10" x14ac:dyDescent="0.25">
      <c r="A1893" t="s">
        <v>42</v>
      </c>
      <c r="B1893">
        <v>5</v>
      </c>
      <c r="C1893" t="s">
        <v>34</v>
      </c>
      <c r="D1893" t="s">
        <v>48</v>
      </c>
      <c r="E1893" s="2">
        <v>144</v>
      </c>
      <c r="F1893">
        <v>27</v>
      </c>
      <c r="G1893">
        <v>117</v>
      </c>
      <c r="H1893">
        <v>0</v>
      </c>
      <c r="I1893" t="s">
        <v>32</v>
      </c>
      <c r="J1893" s="33" t="s">
        <v>144</v>
      </c>
    </row>
    <row r="1894" spans="1:10" x14ac:dyDescent="0.25">
      <c r="A1894" t="s">
        <v>42</v>
      </c>
      <c r="B1894">
        <v>5</v>
      </c>
      <c r="C1894" t="s">
        <v>30</v>
      </c>
      <c r="D1894" t="s">
        <v>47</v>
      </c>
      <c r="E1894" s="2">
        <v>145</v>
      </c>
      <c r="F1894">
        <v>0</v>
      </c>
      <c r="G1894">
        <v>145</v>
      </c>
      <c r="H1894">
        <v>1.9</v>
      </c>
      <c r="I1894" t="s">
        <v>33</v>
      </c>
      <c r="J1894" s="33" t="s">
        <v>144</v>
      </c>
    </row>
    <row r="1895" spans="1:10" x14ac:dyDescent="0.25">
      <c r="A1895" t="s">
        <v>42</v>
      </c>
      <c r="B1895">
        <v>3</v>
      </c>
      <c r="C1895" t="s">
        <v>34</v>
      </c>
      <c r="D1895" t="s">
        <v>50</v>
      </c>
      <c r="E1895" s="2">
        <v>145</v>
      </c>
      <c r="F1895">
        <v>0</v>
      </c>
      <c r="G1895">
        <v>145</v>
      </c>
      <c r="H1895">
        <v>1.9</v>
      </c>
      <c r="I1895" t="s">
        <v>33</v>
      </c>
      <c r="J1895" s="33" t="s">
        <v>144</v>
      </c>
    </row>
    <row r="1896" spans="1:10" x14ac:dyDescent="0.25">
      <c r="A1896" t="s">
        <v>42</v>
      </c>
      <c r="B1896">
        <v>3</v>
      </c>
      <c r="C1896" t="s">
        <v>34</v>
      </c>
      <c r="D1896" t="s">
        <v>50</v>
      </c>
      <c r="E1896" s="2">
        <v>145</v>
      </c>
      <c r="F1896">
        <v>11</v>
      </c>
      <c r="G1896">
        <v>134</v>
      </c>
      <c r="H1896">
        <v>0</v>
      </c>
      <c r="I1896" t="s">
        <v>32</v>
      </c>
      <c r="J1896" s="33" t="s">
        <v>144</v>
      </c>
    </row>
    <row r="1897" spans="1:10" x14ac:dyDescent="0.25">
      <c r="A1897" t="s">
        <v>54</v>
      </c>
      <c r="B1897">
        <v>4</v>
      </c>
      <c r="C1897" t="s">
        <v>34</v>
      </c>
      <c r="D1897" t="s">
        <v>62</v>
      </c>
      <c r="E1897" s="2">
        <v>145</v>
      </c>
      <c r="F1897">
        <v>17</v>
      </c>
      <c r="G1897">
        <v>128</v>
      </c>
      <c r="H1897">
        <v>0</v>
      </c>
      <c r="I1897" t="s">
        <v>32</v>
      </c>
      <c r="J1897" s="33" t="s">
        <v>144</v>
      </c>
    </row>
    <row r="1898" spans="1:10" x14ac:dyDescent="0.25">
      <c r="A1898" t="s">
        <v>71</v>
      </c>
      <c r="B1898">
        <v>11</v>
      </c>
      <c r="C1898" t="s">
        <v>30</v>
      </c>
      <c r="D1898" t="s">
        <v>76</v>
      </c>
      <c r="E1898" s="2">
        <v>146</v>
      </c>
      <c r="F1898">
        <v>27</v>
      </c>
      <c r="G1898">
        <v>119</v>
      </c>
      <c r="H1898">
        <v>0</v>
      </c>
      <c r="I1898" t="s">
        <v>32</v>
      </c>
      <c r="J1898" s="33" t="s">
        <v>144</v>
      </c>
    </row>
    <row r="1899" spans="1:10" x14ac:dyDescent="0.25">
      <c r="A1899" t="s">
        <v>71</v>
      </c>
      <c r="B1899">
        <v>11</v>
      </c>
      <c r="C1899" t="s">
        <v>34</v>
      </c>
      <c r="D1899" t="s">
        <v>77</v>
      </c>
      <c r="E1899" s="2">
        <v>146</v>
      </c>
      <c r="F1899">
        <v>47</v>
      </c>
      <c r="G1899">
        <v>99</v>
      </c>
      <c r="H1899">
        <v>0</v>
      </c>
      <c r="I1899" t="s">
        <v>32</v>
      </c>
      <c r="J1899" s="33" t="s">
        <v>144</v>
      </c>
    </row>
    <row r="1900" spans="1:10" x14ac:dyDescent="0.25">
      <c r="A1900" t="s">
        <v>71</v>
      </c>
      <c r="B1900">
        <v>11</v>
      </c>
      <c r="C1900" t="s">
        <v>34</v>
      </c>
      <c r="D1900" t="s">
        <v>77</v>
      </c>
      <c r="E1900" s="2">
        <v>146</v>
      </c>
      <c r="F1900">
        <v>44</v>
      </c>
      <c r="G1900">
        <v>102</v>
      </c>
      <c r="H1900">
        <v>0</v>
      </c>
      <c r="I1900" t="s">
        <v>32</v>
      </c>
      <c r="J1900" s="33" t="s">
        <v>144</v>
      </c>
    </row>
    <row r="1901" spans="1:10" x14ac:dyDescent="0.25">
      <c r="A1901" t="s">
        <v>42</v>
      </c>
      <c r="B1901">
        <v>5</v>
      </c>
      <c r="C1901" t="s">
        <v>34</v>
      </c>
      <c r="D1901" t="s">
        <v>48</v>
      </c>
      <c r="E1901" s="2">
        <v>148</v>
      </c>
      <c r="F1901">
        <v>19</v>
      </c>
      <c r="G1901">
        <v>129</v>
      </c>
      <c r="H1901">
        <v>0</v>
      </c>
      <c r="I1901" t="s">
        <v>32</v>
      </c>
      <c r="J1901" s="33" t="s">
        <v>144</v>
      </c>
    </row>
    <row r="1902" spans="1:10" x14ac:dyDescent="0.25">
      <c r="A1902" t="s">
        <v>42</v>
      </c>
      <c r="B1902">
        <v>4</v>
      </c>
      <c r="C1902" t="s">
        <v>30</v>
      </c>
      <c r="D1902" t="s">
        <v>51</v>
      </c>
      <c r="E1902" s="2">
        <v>148</v>
      </c>
      <c r="F1902">
        <v>51</v>
      </c>
      <c r="G1902">
        <v>97</v>
      </c>
      <c r="H1902">
        <v>0</v>
      </c>
      <c r="I1902" t="s">
        <v>32</v>
      </c>
      <c r="J1902" s="33" t="s">
        <v>144</v>
      </c>
    </row>
    <row r="1903" spans="1:10" x14ac:dyDescent="0.25">
      <c r="A1903" t="s">
        <v>68</v>
      </c>
      <c r="B1903">
        <v>6</v>
      </c>
      <c r="C1903" t="s">
        <v>30</v>
      </c>
      <c r="D1903" t="s">
        <v>69</v>
      </c>
      <c r="E1903" s="2">
        <v>148</v>
      </c>
      <c r="F1903">
        <v>42</v>
      </c>
      <c r="G1903">
        <v>106</v>
      </c>
      <c r="H1903">
        <v>0</v>
      </c>
      <c r="I1903" t="s">
        <v>32</v>
      </c>
      <c r="J1903" s="33" t="s">
        <v>144</v>
      </c>
    </row>
    <row r="1904" spans="1:10" x14ac:dyDescent="0.25">
      <c r="A1904" t="s">
        <v>71</v>
      </c>
      <c r="B1904">
        <v>8</v>
      </c>
      <c r="C1904" t="s">
        <v>30</v>
      </c>
      <c r="D1904" t="s">
        <v>72</v>
      </c>
      <c r="E1904" s="2">
        <v>148</v>
      </c>
      <c r="F1904">
        <v>13</v>
      </c>
      <c r="G1904">
        <v>135</v>
      </c>
      <c r="H1904">
        <v>0</v>
      </c>
      <c r="I1904" t="s">
        <v>32</v>
      </c>
      <c r="J1904" s="33" t="s">
        <v>144</v>
      </c>
    </row>
    <row r="1905" spans="1:10" x14ac:dyDescent="0.25">
      <c r="A1905" t="s">
        <v>42</v>
      </c>
      <c r="B1905">
        <v>5</v>
      </c>
      <c r="C1905" t="s">
        <v>30</v>
      </c>
      <c r="D1905" t="s">
        <v>47</v>
      </c>
      <c r="E1905" s="2">
        <v>149</v>
      </c>
      <c r="F1905">
        <v>41</v>
      </c>
      <c r="G1905">
        <v>108</v>
      </c>
      <c r="H1905">
        <v>0</v>
      </c>
      <c r="I1905" t="s">
        <v>32</v>
      </c>
      <c r="J1905" s="33" t="s">
        <v>144</v>
      </c>
    </row>
    <row r="1906" spans="1:10" x14ac:dyDescent="0.25">
      <c r="A1906" t="s">
        <v>42</v>
      </c>
      <c r="B1906">
        <v>3</v>
      </c>
      <c r="C1906" t="s">
        <v>30</v>
      </c>
      <c r="D1906" t="s">
        <v>49</v>
      </c>
      <c r="E1906" s="2">
        <v>149</v>
      </c>
      <c r="F1906">
        <v>0</v>
      </c>
      <c r="G1906">
        <v>149</v>
      </c>
      <c r="H1906">
        <v>0.7</v>
      </c>
      <c r="I1906" t="s">
        <v>32</v>
      </c>
      <c r="J1906" s="33" t="s">
        <v>144</v>
      </c>
    </row>
    <row r="1907" spans="1:10" x14ac:dyDescent="0.25">
      <c r="A1907" t="s">
        <v>42</v>
      </c>
      <c r="B1907">
        <v>2</v>
      </c>
      <c r="C1907" t="s">
        <v>30</v>
      </c>
      <c r="D1907" t="s">
        <v>45</v>
      </c>
      <c r="E1907" s="2">
        <v>150</v>
      </c>
      <c r="F1907">
        <v>150</v>
      </c>
      <c r="G1907">
        <v>0</v>
      </c>
      <c r="H1907">
        <v>0</v>
      </c>
      <c r="I1907" t="s">
        <v>32</v>
      </c>
      <c r="J1907" s="33" t="s">
        <v>144</v>
      </c>
    </row>
    <row r="1908" spans="1:10" x14ac:dyDescent="0.25">
      <c r="A1908" t="s">
        <v>54</v>
      </c>
      <c r="B1908">
        <v>4</v>
      </c>
      <c r="C1908" t="s">
        <v>34</v>
      </c>
      <c r="D1908" t="s">
        <v>62</v>
      </c>
      <c r="E1908" s="2">
        <v>150</v>
      </c>
      <c r="F1908">
        <v>62</v>
      </c>
      <c r="G1908">
        <v>88</v>
      </c>
      <c r="H1908">
        <v>0</v>
      </c>
      <c r="I1908" t="s">
        <v>32</v>
      </c>
      <c r="J1908" s="33" t="s">
        <v>144</v>
      </c>
    </row>
    <row r="1909" spans="1:10" x14ac:dyDescent="0.25">
      <c r="A1909" t="s">
        <v>63</v>
      </c>
      <c r="B1909">
        <v>5</v>
      </c>
      <c r="C1909" t="s">
        <v>34</v>
      </c>
      <c r="D1909" t="s">
        <v>65</v>
      </c>
      <c r="E1909" s="2">
        <v>150</v>
      </c>
      <c r="F1909">
        <v>69</v>
      </c>
      <c r="G1909">
        <v>81</v>
      </c>
      <c r="H1909">
        <v>0</v>
      </c>
      <c r="I1909" t="s">
        <v>32</v>
      </c>
      <c r="J1909" s="33" t="s">
        <v>144</v>
      </c>
    </row>
    <row r="1910" spans="1:10" x14ac:dyDescent="0.25">
      <c r="A1910" t="s">
        <v>71</v>
      </c>
      <c r="B1910">
        <v>11</v>
      </c>
      <c r="C1910" t="s">
        <v>34</v>
      </c>
      <c r="D1910" t="s">
        <v>77</v>
      </c>
      <c r="E1910" s="2">
        <v>150</v>
      </c>
      <c r="F1910">
        <v>33</v>
      </c>
      <c r="G1910">
        <v>117</v>
      </c>
      <c r="H1910">
        <v>0</v>
      </c>
      <c r="I1910" t="s">
        <v>32</v>
      </c>
      <c r="J1910" s="33" t="s">
        <v>144</v>
      </c>
    </row>
    <row r="1911" spans="1:10" x14ac:dyDescent="0.25">
      <c r="A1911" t="s">
        <v>42</v>
      </c>
      <c r="B1911">
        <v>3</v>
      </c>
      <c r="C1911" t="s">
        <v>34</v>
      </c>
      <c r="D1911" t="s">
        <v>50</v>
      </c>
      <c r="E1911" s="2">
        <v>151</v>
      </c>
      <c r="F1911">
        <v>58</v>
      </c>
      <c r="G1911">
        <v>93</v>
      </c>
      <c r="H1911">
        <v>0</v>
      </c>
      <c r="I1911" t="s">
        <v>32</v>
      </c>
      <c r="J1911" s="33" t="s">
        <v>103</v>
      </c>
    </row>
    <row r="1912" spans="1:10" x14ac:dyDescent="0.25">
      <c r="A1912" t="s">
        <v>63</v>
      </c>
      <c r="B1912">
        <v>5</v>
      </c>
      <c r="C1912" t="s">
        <v>34</v>
      </c>
      <c r="D1912" t="s">
        <v>65</v>
      </c>
      <c r="E1912" s="2">
        <v>152</v>
      </c>
      <c r="F1912">
        <v>88</v>
      </c>
      <c r="G1912">
        <v>64</v>
      </c>
      <c r="H1912">
        <v>0</v>
      </c>
      <c r="I1912" t="s">
        <v>32</v>
      </c>
      <c r="J1912" s="33" t="s">
        <v>103</v>
      </c>
    </row>
    <row r="1913" spans="1:10" x14ac:dyDescent="0.25">
      <c r="A1913" t="s">
        <v>68</v>
      </c>
      <c r="B1913">
        <v>6</v>
      </c>
      <c r="C1913" t="s">
        <v>34</v>
      </c>
      <c r="D1913" t="s">
        <v>70</v>
      </c>
      <c r="E1913" s="2">
        <v>152</v>
      </c>
      <c r="F1913">
        <v>41</v>
      </c>
      <c r="G1913">
        <v>111</v>
      </c>
      <c r="H1913">
        <v>0</v>
      </c>
      <c r="I1913" t="s">
        <v>32</v>
      </c>
      <c r="J1913" s="33" t="s">
        <v>103</v>
      </c>
    </row>
    <row r="1914" spans="1:10" x14ac:dyDescent="0.25">
      <c r="A1914" t="s">
        <v>42</v>
      </c>
      <c r="B1914">
        <v>2</v>
      </c>
      <c r="C1914" t="s">
        <v>30</v>
      </c>
      <c r="D1914" t="s">
        <v>45</v>
      </c>
      <c r="E1914" s="2">
        <v>153</v>
      </c>
      <c r="F1914">
        <v>153</v>
      </c>
      <c r="G1914">
        <v>0</v>
      </c>
      <c r="H1914">
        <v>0</v>
      </c>
      <c r="I1914" t="s">
        <v>32</v>
      </c>
      <c r="J1914" s="33" t="s">
        <v>103</v>
      </c>
    </row>
    <row r="1915" spans="1:10" x14ac:dyDescent="0.25">
      <c r="A1915" t="s">
        <v>42</v>
      </c>
      <c r="B1915">
        <v>3</v>
      </c>
      <c r="C1915" t="s">
        <v>34</v>
      </c>
      <c r="D1915" t="s">
        <v>50</v>
      </c>
      <c r="E1915" s="2">
        <v>153</v>
      </c>
      <c r="F1915">
        <v>55</v>
      </c>
      <c r="G1915">
        <v>98</v>
      </c>
      <c r="H1915">
        <v>0</v>
      </c>
      <c r="I1915" t="s">
        <v>32</v>
      </c>
      <c r="J1915" s="33" t="s">
        <v>103</v>
      </c>
    </row>
    <row r="1916" spans="1:10" x14ac:dyDescent="0.25">
      <c r="A1916" t="s">
        <v>71</v>
      </c>
      <c r="B1916">
        <v>8</v>
      </c>
      <c r="C1916" t="s">
        <v>30</v>
      </c>
      <c r="D1916" t="s">
        <v>72</v>
      </c>
      <c r="E1916" s="2">
        <v>154</v>
      </c>
      <c r="F1916">
        <v>38</v>
      </c>
      <c r="G1916">
        <v>116</v>
      </c>
      <c r="H1916">
        <v>0</v>
      </c>
      <c r="I1916" t="s">
        <v>32</v>
      </c>
      <c r="J1916" s="33" t="s">
        <v>103</v>
      </c>
    </row>
    <row r="1917" spans="1:10" x14ac:dyDescent="0.25">
      <c r="A1917" t="s">
        <v>42</v>
      </c>
      <c r="B1917">
        <v>4</v>
      </c>
      <c r="C1917" t="s">
        <v>30</v>
      </c>
      <c r="D1917" t="s">
        <v>51</v>
      </c>
      <c r="E1917" s="2">
        <v>156</v>
      </c>
      <c r="F1917">
        <v>35</v>
      </c>
      <c r="G1917">
        <v>121</v>
      </c>
      <c r="H1917">
        <v>0</v>
      </c>
      <c r="I1917" t="s">
        <v>32</v>
      </c>
      <c r="J1917" s="33" t="s">
        <v>103</v>
      </c>
    </row>
    <row r="1918" spans="1:10" x14ac:dyDescent="0.25">
      <c r="A1918" t="s">
        <v>68</v>
      </c>
      <c r="B1918">
        <v>6</v>
      </c>
      <c r="C1918" t="s">
        <v>30</v>
      </c>
      <c r="D1918" t="s">
        <v>69</v>
      </c>
      <c r="E1918" s="2">
        <v>158</v>
      </c>
      <c r="F1918">
        <v>37</v>
      </c>
      <c r="G1918">
        <v>121</v>
      </c>
      <c r="H1918">
        <v>0</v>
      </c>
      <c r="I1918" t="s">
        <v>32</v>
      </c>
      <c r="J1918" s="33" t="s">
        <v>103</v>
      </c>
    </row>
    <row r="1919" spans="1:10" x14ac:dyDescent="0.25">
      <c r="A1919" t="s">
        <v>71</v>
      </c>
      <c r="B1919">
        <v>10</v>
      </c>
      <c r="C1919" t="s">
        <v>30</v>
      </c>
      <c r="D1919" t="s">
        <v>74</v>
      </c>
      <c r="E1919" s="2">
        <v>160</v>
      </c>
      <c r="F1919">
        <v>15</v>
      </c>
      <c r="G1919">
        <v>145</v>
      </c>
      <c r="H1919">
        <v>0</v>
      </c>
      <c r="I1919" t="s">
        <v>32</v>
      </c>
      <c r="J1919" s="33" t="s">
        <v>103</v>
      </c>
    </row>
    <row r="1920" spans="1:10" x14ac:dyDescent="0.25">
      <c r="A1920" t="s">
        <v>52</v>
      </c>
      <c r="B1920">
        <v>4</v>
      </c>
      <c r="C1920" t="s">
        <v>34</v>
      </c>
      <c r="D1920" t="s">
        <v>53</v>
      </c>
      <c r="E1920" s="2">
        <v>162</v>
      </c>
      <c r="F1920">
        <v>80</v>
      </c>
      <c r="G1920">
        <v>82</v>
      </c>
      <c r="H1920">
        <v>0</v>
      </c>
      <c r="I1920" t="s">
        <v>32</v>
      </c>
      <c r="J1920" s="33" t="s">
        <v>103</v>
      </c>
    </row>
    <row r="1921" spans="1:10" x14ac:dyDescent="0.25">
      <c r="A1921" t="s">
        <v>71</v>
      </c>
      <c r="B1921">
        <v>8</v>
      </c>
      <c r="C1921" t="s">
        <v>30</v>
      </c>
      <c r="D1921" t="s">
        <v>72</v>
      </c>
      <c r="E1921" s="2">
        <v>162</v>
      </c>
      <c r="F1921">
        <v>16</v>
      </c>
      <c r="G1921">
        <v>146</v>
      </c>
      <c r="H1921">
        <v>0</v>
      </c>
      <c r="I1921" t="s">
        <v>32</v>
      </c>
      <c r="J1921" s="33" t="s">
        <v>103</v>
      </c>
    </row>
    <row r="1922" spans="1:10" x14ac:dyDescent="0.25">
      <c r="A1922" t="s">
        <v>71</v>
      </c>
      <c r="B1922">
        <v>11</v>
      </c>
      <c r="C1922" t="s">
        <v>30</v>
      </c>
      <c r="D1922" t="s">
        <v>76</v>
      </c>
      <c r="E1922" s="2">
        <v>162</v>
      </c>
      <c r="F1922">
        <v>56</v>
      </c>
      <c r="G1922">
        <v>106</v>
      </c>
      <c r="H1922">
        <v>0</v>
      </c>
      <c r="I1922" t="s">
        <v>32</v>
      </c>
      <c r="J1922" s="33" t="s">
        <v>103</v>
      </c>
    </row>
    <row r="1923" spans="1:10" x14ac:dyDescent="0.25">
      <c r="A1923" t="s">
        <v>71</v>
      </c>
      <c r="B1923">
        <v>11</v>
      </c>
      <c r="C1923" t="s">
        <v>34</v>
      </c>
      <c r="D1923" t="s">
        <v>77</v>
      </c>
      <c r="E1923" s="2">
        <v>162</v>
      </c>
      <c r="F1923">
        <v>72</v>
      </c>
      <c r="G1923">
        <v>90</v>
      </c>
      <c r="H1923">
        <v>0</v>
      </c>
      <c r="I1923" t="s">
        <v>32</v>
      </c>
      <c r="J1923" s="33" t="s">
        <v>103</v>
      </c>
    </row>
    <row r="1924" spans="1:10" x14ac:dyDescent="0.25">
      <c r="A1924" t="s">
        <v>68</v>
      </c>
      <c r="B1924">
        <v>6</v>
      </c>
      <c r="C1924" t="s">
        <v>34</v>
      </c>
      <c r="D1924" t="s">
        <v>70</v>
      </c>
      <c r="E1924" s="2">
        <v>163</v>
      </c>
      <c r="F1924">
        <v>68</v>
      </c>
      <c r="G1924">
        <v>95</v>
      </c>
      <c r="H1924">
        <v>0</v>
      </c>
      <c r="I1924" t="s">
        <v>32</v>
      </c>
      <c r="J1924" s="33" t="s">
        <v>103</v>
      </c>
    </row>
    <row r="1925" spans="1:10" x14ac:dyDescent="0.25">
      <c r="A1925" t="s">
        <v>68</v>
      </c>
      <c r="B1925">
        <v>6</v>
      </c>
      <c r="C1925" t="s">
        <v>34</v>
      </c>
      <c r="D1925" t="s">
        <v>70</v>
      </c>
      <c r="E1925" s="2">
        <v>165</v>
      </c>
      <c r="F1925">
        <v>0</v>
      </c>
      <c r="G1925">
        <v>165</v>
      </c>
      <c r="H1925">
        <v>13.1</v>
      </c>
      <c r="I1925" t="s">
        <v>33</v>
      </c>
      <c r="J1925" s="33" t="s">
        <v>103</v>
      </c>
    </row>
    <row r="1926" spans="1:10" x14ac:dyDescent="0.25">
      <c r="A1926" t="s">
        <v>42</v>
      </c>
      <c r="B1926">
        <v>4</v>
      </c>
      <c r="C1926" t="s">
        <v>30</v>
      </c>
      <c r="D1926" t="s">
        <v>51</v>
      </c>
      <c r="E1926" s="2">
        <v>166</v>
      </c>
      <c r="F1926">
        <v>45</v>
      </c>
      <c r="G1926">
        <v>121</v>
      </c>
      <c r="H1926">
        <v>0</v>
      </c>
      <c r="I1926" t="s">
        <v>32</v>
      </c>
      <c r="J1926" s="33" t="s">
        <v>103</v>
      </c>
    </row>
    <row r="1927" spans="1:10" x14ac:dyDescent="0.25">
      <c r="A1927" t="s">
        <v>68</v>
      </c>
      <c r="B1927">
        <v>6</v>
      </c>
      <c r="C1927" t="s">
        <v>34</v>
      </c>
      <c r="D1927" t="s">
        <v>70</v>
      </c>
      <c r="E1927" s="2">
        <v>166</v>
      </c>
      <c r="F1927">
        <v>83</v>
      </c>
      <c r="G1927">
        <v>83</v>
      </c>
      <c r="H1927">
        <v>0</v>
      </c>
      <c r="I1927" t="s">
        <v>32</v>
      </c>
      <c r="J1927" s="33" t="s">
        <v>103</v>
      </c>
    </row>
    <row r="1928" spans="1:10" x14ac:dyDescent="0.25">
      <c r="A1928" t="s">
        <v>42</v>
      </c>
      <c r="B1928">
        <v>5</v>
      </c>
      <c r="C1928" t="s">
        <v>30</v>
      </c>
      <c r="D1928" t="s">
        <v>47</v>
      </c>
      <c r="E1928" s="2">
        <v>167</v>
      </c>
      <c r="F1928">
        <v>51</v>
      </c>
      <c r="G1928">
        <v>116</v>
      </c>
      <c r="H1928">
        <v>0</v>
      </c>
      <c r="I1928" t="s">
        <v>32</v>
      </c>
      <c r="J1928" s="33" t="s">
        <v>103</v>
      </c>
    </row>
    <row r="1929" spans="1:10" x14ac:dyDescent="0.25">
      <c r="A1929" t="s">
        <v>68</v>
      </c>
      <c r="B1929">
        <v>6</v>
      </c>
      <c r="C1929" t="s">
        <v>34</v>
      </c>
      <c r="D1929" t="s">
        <v>70</v>
      </c>
      <c r="E1929" s="2">
        <v>169</v>
      </c>
      <c r="F1929">
        <v>34</v>
      </c>
      <c r="G1929">
        <v>135</v>
      </c>
      <c r="H1929">
        <v>0</v>
      </c>
      <c r="I1929" t="s">
        <v>32</v>
      </c>
      <c r="J1929" s="33" t="s">
        <v>103</v>
      </c>
    </row>
    <row r="1930" spans="1:10" x14ac:dyDescent="0.25">
      <c r="A1930" t="s">
        <v>71</v>
      </c>
      <c r="B1930">
        <v>11</v>
      </c>
      <c r="C1930" t="s">
        <v>34</v>
      </c>
      <c r="D1930" t="s">
        <v>77</v>
      </c>
      <c r="E1930" s="2">
        <v>170</v>
      </c>
      <c r="F1930">
        <v>30</v>
      </c>
      <c r="G1930">
        <v>140</v>
      </c>
      <c r="H1930">
        <v>0</v>
      </c>
      <c r="I1930" t="s">
        <v>32</v>
      </c>
      <c r="J1930" s="33" t="s">
        <v>103</v>
      </c>
    </row>
    <row r="1931" spans="1:10" x14ac:dyDescent="0.25">
      <c r="A1931" t="s">
        <v>68</v>
      </c>
      <c r="B1931">
        <v>6</v>
      </c>
      <c r="C1931" t="s">
        <v>30</v>
      </c>
      <c r="D1931" t="s">
        <v>69</v>
      </c>
      <c r="E1931" s="2">
        <v>173</v>
      </c>
      <c r="F1931">
        <v>51</v>
      </c>
      <c r="G1931">
        <v>122</v>
      </c>
      <c r="H1931">
        <v>0</v>
      </c>
      <c r="I1931" t="s">
        <v>32</v>
      </c>
      <c r="J1931" s="33" t="s">
        <v>103</v>
      </c>
    </row>
    <row r="1932" spans="1:10" x14ac:dyDescent="0.25">
      <c r="A1932" t="s">
        <v>42</v>
      </c>
      <c r="B1932">
        <v>3</v>
      </c>
      <c r="C1932" t="s">
        <v>34</v>
      </c>
      <c r="D1932" t="s">
        <v>50</v>
      </c>
      <c r="E1932" s="2">
        <v>174</v>
      </c>
      <c r="F1932">
        <v>83</v>
      </c>
      <c r="G1932">
        <v>91</v>
      </c>
      <c r="H1932">
        <v>0</v>
      </c>
      <c r="I1932" t="s">
        <v>32</v>
      </c>
      <c r="J1932" s="33" t="s">
        <v>103</v>
      </c>
    </row>
    <row r="1933" spans="1:10" x14ac:dyDescent="0.25">
      <c r="A1933" t="s">
        <v>42</v>
      </c>
      <c r="B1933">
        <v>5</v>
      </c>
      <c r="C1933" t="s">
        <v>34</v>
      </c>
      <c r="D1933" t="s">
        <v>48</v>
      </c>
      <c r="E1933" s="2">
        <v>175</v>
      </c>
      <c r="F1933">
        <v>62</v>
      </c>
      <c r="G1933">
        <v>113</v>
      </c>
      <c r="H1933">
        <v>0</v>
      </c>
      <c r="I1933" t="s">
        <v>32</v>
      </c>
      <c r="J1933" s="33" t="s">
        <v>103</v>
      </c>
    </row>
    <row r="1934" spans="1:10" x14ac:dyDescent="0.25">
      <c r="A1934" t="s">
        <v>42</v>
      </c>
      <c r="B1934">
        <v>4</v>
      </c>
      <c r="C1934" t="s">
        <v>30</v>
      </c>
      <c r="D1934" t="s">
        <v>51</v>
      </c>
      <c r="E1934" s="2">
        <v>175</v>
      </c>
      <c r="F1934">
        <v>74</v>
      </c>
      <c r="G1934">
        <v>101</v>
      </c>
      <c r="H1934">
        <v>0</v>
      </c>
      <c r="I1934" t="s">
        <v>32</v>
      </c>
      <c r="J1934" s="33" t="s">
        <v>103</v>
      </c>
    </row>
    <row r="1935" spans="1:10" x14ac:dyDescent="0.25">
      <c r="A1935" t="s">
        <v>71</v>
      </c>
      <c r="B1935">
        <v>11</v>
      </c>
      <c r="C1935" t="s">
        <v>30</v>
      </c>
      <c r="D1935" t="s">
        <v>76</v>
      </c>
      <c r="E1935" s="2">
        <v>176</v>
      </c>
      <c r="F1935">
        <v>85</v>
      </c>
      <c r="G1935">
        <v>91</v>
      </c>
      <c r="H1935">
        <v>0</v>
      </c>
      <c r="I1935" t="s">
        <v>32</v>
      </c>
      <c r="J1935" s="33" t="s">
        <v>103</v>
      </c>
    </row>
    <row r="1936" spans="1:10" x14ac:dyDescent="0.25">
      <c r="A1936" t="s">
        <v>42</v>
      </c>
      <c r="B1936">
        <v>2</v>
      </c>
      <c r="C1936" t="s">
        <v>34</v>
      </c>
      <c r="D1936" t="s">
        <v>46</v>
      </c>
      <c r="E1936" s="2">
        <v>177</v>
      </c>
      <c r="F1936">
        <v>67</v>
      </c>
      <c r="G1936">
        <v>110</v>
      </c>
      <c r="H1936">
        <v>0</v>
      </c>
      <c r="I1936" t="s">
        <v>32</v>
      </c>
      <c r="J1936" s="33" t="s">
        <v>103</v>
      </c>
    </row>
    <row r="1937" spans="1:10" x14ac:dyDescent="0.25">
      <c r="A1937" t="s">
        <v>63</v>
      </c>
      <c r="B1937">
        <v>5</v>
      </c>
      <c r="C1937" t="s">
        <v>34</v>
      </c>
      <c r="D1937" t="s">
        <v>65</v>
      </c>
      <c r="E1937" s="2">
        <v>177</v>
      </c>
      <c r="F1937">
        <v>74</v>
      </c>
      <c r="G1937">
        <v>103</v>
      </c>
      <c r="H1937">
        <v>0</v>
      </c>
      <c r="I1937" t="s">
        <v>32</v>
      </c>
      <c r="J1937" s="33" t="s">
        <v>103</v>
      </c>
    </row>
    <row r="1938" spans="1:10" x14ac:dyDescent="0.25">
      <c r="A1938" t="s">
        <v>42</v>
      </c>
      <c r="B1938">
        <v>4</v>
      </c>
      <c r="C1938" t="s">
        <v>30</v>
      </c>
      <c r="D1938" t="s">
        <v>51</v>
      </c>
      <c r="E1938" s="2">
        <v>178</v>
      </c>
      <c r="F1938">
        <v>68</v>
      </c>
      <c r="G1938">
        <v>110</v>
      </c>
      <c r="H1938">
        <v>0</v>
      </c>
      <c r="I1938" t="s">
        <v>32</v>
      </c>
      <c r="J1938" s="33" t="s">
        <v>103</v>
      </c>
    </row>
    <row r="1939" spans="1:10" x14ac:dyDescent="0.25">
      <c r="A1939" t="s">
        <v>71</v>
      </c>
      <c r="B1939">
        <v>11</v>
      </c>
      <c r="C1939" t="s">
        <v>30</v>
      </c>
      <c r="D1939" t="s">
        <v>76</v>
      </c>
      <c r="E1939" s="2">
        <v>178</v>
      </c>
      <c r="F1939">
        <v>72</v>
      </c>
      <c r="G1939">
        <v>106</v>
      </c>
      <c r="H1939">
        <v>0</v>
      </c>
      <c r="I1939" t="s">
        <v>32</v>
      </c>
      <c r="J1939" s="33" t="s">
        <v>103</v>
      </c>
    </row>
    <row r="1940" spans="1:10" x14ac:dyDescent="0.25">
      <c r="A1940" t="s">
        <v>42</v>
      </c>
      <c r="B1940">
        <v>5</v>
      </c>
      <c r="C1940" t="s">
        <v>30</v>
      </c>
      <c r="D1940" t="s">
        <v>47</v>
      </c>
      <c r="E1940" s="2">
        <v>179</v>
      </c>
      <c r="F1940">
        <v>32</v>
      </c>
      <c r="G1940">
        <v>147</v>
      </c>
      <c r="H1940">
        <v>0</v>
      </c>
      <c r="I1940" t="s">
        <v>32</v>
      </c>
      <c r="J1940" s="33" t="s">
        <v>103</v>
      </c>
    </row>
    <row r="1941" spans="1:10" x14ac:dyDescent="0.25">
      <c r="A1941" t="s">
        <v>63</v>
      </c>
      <c r="B1941">
        <v>1</v>
      </c>
      <c r="C1941" t="s">
        <v>34</v>
      </c>
      <c r="D1941" t="s">
        <v>67</v>
      </c>
      <c r="E1941" s="2">
        <v>184</v>
      </c>
      <c r="F1941">
        <v>36</v>
      </c>
      <c r="G1941">
        <v>148</v>
      </c>
      <c r="H1941">
        <v>0</v>
      </c>
      <c r="I1941" t="s">
        <v>32</v>
      </c>
      <c r="J1941" s="33" t="s">
        <v>103</v>
      </c>
    </row>
    <row r="1942" spans="1:10" x14ac:dyDescent="0.25">
      <c r="A1942" t="s">
        <v>52</v>
      </c>
      <c r="B1942">
        <v>4</v>
      </c>
      <c r="C1942" t="s">
        <v>34</v>
      </c>
      <c r="D1942" t="s">
        <v>53</v>
      </c>
      <c r="E1942" s="2">
        <v>185</v>
      </c>
      <c r="F1942">
        <v>117</v>
      </c>
      <c r="G1942">
        <v>68</v>
      </c>
      <c r="H1942">
        <v>0</v>
      </c>
      <c r="I1942" t="s">
        <v>32</v>
      </c>
      <c r="J1942" s="33" t="s">
        <v>103</v>
      </c>
    </row>
    <row r="1943" spans="1:10" x14ac:dyDescent="0.25">
      <c r="A1943" t="s">
        <v>42</v>
      </c>
      <c r="B1943">
        <v>3</v>
      </c>
      <c r="C1943" t="s">
        <v>30</v>
      </c>
      <c r="D1943" t="s">
        <v>49</v>
      </c>
      <c r="E1943" s="2">
        <v>190</v>
      </c>
      <c r="F1943">
        <v>67</v>
      </c>
      <c r="G1943">
        <v>123</v>
      </c>
      <c r="H1943">
        <v>0</v>
      </c>
      <c r="I1943" t="s">
        <v>32</v>
      </c>
      <c r="J1943" s="33" t="s">
        <v>103</v>
      </c>
    </row>
    <row r="1944" spans="1:10" x14ac:dyDescent="0.25">
      <c r="A1944" t="s">
        <v>52</v>
      </c>
      <c r="B1944">
        <v>4</v>
      </c>
      <c r="C1944" t="s">
        <v>34</v>
      </c>
      <c r="D1944" t="s">
        <v>53</v>
      </c>
      <c r="E1944" s="2">
        <v>190</v>
      </c>
      <c r="F1944">
        <v>80</v>
      </c>
      <c r="G1944">
        <v>110</v>
      </c>
      <c r="H1944">
        <v>0</v>
      </c>
      <c r="I1944" t="s">
        <v>32</v>
      </c>
      <c r="J1944" s="33" t="s">
        <v>103</v>
      </c>
    </row>
    <row r="1945" spans="1:10" x14ac:dyDescent="0.25">
      <c r="A1945" t="s">
        <v>54</v>
      </c>
      <c r="B1945">
        <v>1</v>
      </c>
      <c r="C1945" t="s">
        <v>30</v>
      </c>
      <c r="D1945" t="s">
        <v>55</v>
      </c>
      <c r="E1945" s="2">
        <v>198</v>
      </c>
      <c r="F1945">
        <v>87</v>
      </c>
      <c r="G1945">
        <v>111</v>
      </c>
      <c r="H1945">
        <v>0</v>
      </c>
      <c r="I1945" t="s">
        <v>32</v>
      </c>
      <c r="J1945" s="33" t="s">
        <v>103</v>
      </c>
    </row>
    <row r="1946" spans="1:10" x14ac:dyDescent="0.25">
      <c r="A1946" t="s">
        <v>63</v>
      </c>
      <c r="B1946">
        <v>1</v>
      </c>
      <c r="C1946" t="s">
        <v>30</v>
      </c>
      <c r="D1946" t="s">
        <v>66</v>
      </c>
      <c r="E1946" s="2">
        <v>205</v>
      </c>
      <c r="F1946">
        <v>113</v>
      </c>
      <c r="G1946">
        <v>92</v>
      </c>
      <c r="H1946">
        <v>0</v>
      </c>
      <c r="I1946" t="s">
        <v>32</v>
      </c>
      <c r="J1946" s="33" t="s">
        <v>103</v>
      </c>
    </row>
    <row r="1947" spans="1:10" x14ac:dyDescent="0.25">
      <c r="A1947" t="s">
        <v>63</v>
      </c>
      <c r="B1947">
        <v>5</v>
      </c>
      <c r="C1947" t="s">
        <v>34</v>
      </c>
      <c r="D1947" t="s">
        <v>65</v>
      </c>
      <c r="E1947" s="2">
        <v>210</v>
      </c>
      <c r="F1947">
        <v>100</v>
      </c>
      <c r="G1947">
        <v>110</v>
      </c>
      <c r="H1947">
        <v>0</v>
      </c>
      <c r="I1947" t="s">
        <v>32</v>
      </c>
      <c r="J1947" s="33" t="s">
        <v>103</v>
      </c>
    </row>
    <row r="1948" spans="1:10" x14ac:dyDescent="0.25">
      <c r="A1948" t="s">
        <v>52</v>
      </c>
      <c r="B1948">
        <v>4</v>
      </c>
      <c r="C1948" t="s">
        <v>34</v>
      </c>
      <c r="D1948" t="s">
        <v>53</v>
      </c>
      <c r="E1948" s="2">
        <v>213</v>
      </c>
      <c r="F1948">
        <v>105</v>
      </c>
      <c r="G1948">
        <v>108</v>
      </c>
      <c r="H1948">
        <v>0</v>
      </c>
      <c r="I1948" t="s">
        <v>32</v>
      </c>
      <c r="J1948" s="33" t="s">
        <v>103</v>
      </c>
    </row>
    <row r="1949" spans="1:10" x14ac:dyDescent="0.25">
      <c r="A1949" t="s">
        <v>42</v>
      </c>
      <c r="B1949">
        <v>1</v>
      </c>
      <c r="C1949" t="s">
        <v>34</v>
      </c>
      <c r="D1949" t="s">
        <v>44</v>
      </c>
      <c r="E1949" s="2">
        <v>235</v>
      </c>
      <c r="F1949">
        <v>109</v>
      </c>
      <c r="G1949">
        <v>126</v>
      </c>
      <c r="H1949">
        <v>0</v>
      </c>
      <c r="I1949" t="s">
        <v>32</v>
      </c>
      <c r="J1949" s="33" t="s">
        <v>103</v>
      </c>
    </row>
    <row r="1950" spans="1:10" x14ac:dyDescent="0.25">
      <c r="A1950" t="s">
        <v>42</v>
      </c>
      <c r="B1950">
        <v>3</v>
      </c>
      <c r="C1950" t="s">
        <v>30</v>
      </c>
      <c r="D1950" t="s">
        <v>49</v>
      </c>
      <c r="E1950" s="2">
        <v>235</v>
      </c>
      <c r="F1950">
        <v>100</v>
      </c>
      <c r="G1950">
        <v>135</v>
      </c>
      <c r="H1950">
        <v>0</v>
      </c>
      <c r="I1950" t="s">
        <v>32</v>
      </c>
      <c r="J1950" s="33" t="s">
        <v>103</v>
      </c>
    </row>
    <row r="1951" spans="1:10" x14ac:dyDescent="0.25">
      <c r="A1951" t="s">
        <v>42</v>
      </c>
      <c r="B1951">
        <v>2</v>
      </c>
      <c r="C1951" t="s">
        <v>34</v>
      </c>
      <c r="D1951" t="s">
        <v>46</v>
      </c>
      <c r="E1951" s="2">
        <v>238</v>
      </c>
      <c r="F1951">
        <v>122</v>
      </c>
      <c r="G1951">
        <v>116</v>
      </c>
      <c r="H1951">
        <v>0</v>
      </c>
      <c r="I1951" t="s">
        <v>32</v>
      </c>
      <c r="J1951" s="33" t="s">
        <v>103</v>
      </c>
    </row>
  </sheetData>
  <autoFilter ref="A1:J1951" xr:uid="{B38E6885-F62B-4D3B-A7CA-F4725B3218D5}">
    <sortState xmlns:xlrd2="http://schemas.microsoft.com/office/spreadsheetml/2017/richdata2" ref="A2:J1951">
      <sortCondition ref="E1:E1951"/>
    </sortState>
  </autoFilter>
  <phoneticPr fontId="9" type="noConversion"/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16AA8-1DED-43F7-A82A-8FAB2B2EB6B4}">
  <dimension ref="A1:F21"/>
  <sheetViews>
    <sheetView workbookViewId="0">
      <selection activeCell="F12" sqref="F12:F21"/>
    </sheetView>
  </sheetViews>
  <sheetFormatPr defaultRowHeight="15" x14ac:dyDescent="0.25"/>
  <cols>
    <col min="2" max="3" width="12.28515625" bestFit="1" customWidth="1"/>
  </cols>
  <sheetData>
    <row r="1" spans="1:6" x14ac:dyDescent="0.25">
      <c r="A1" t="s">
        <v>81</v>
      </c>
      <c r="B1" t="s">
        <v>138</v>
      </c>
      <c r="C1" t="s">
        <v>157</v>
      </c>
      <c r="D1" t="s">
        <v>130</v>
      </c>
      <c r="E1" t="s">
        <v>131</v>
      </c>
      <c r="F1" t="s">
        <v>136</v>
      </c>
    </row>
    <row r="2" spans="1:6" x14ac:dyDescent="0.25">
      <c r="A2" t="s">
        <v>2</v>
      </c>
      <c r="B2" s="14">
        <v>0</v>
      </c>
      <c r="C2">
        <v>18.470588235294116</v>
      </c>
      <c r="D2">
        <v>19.071735738885099</v>
      </c>
      <c r="E2">
        <v>17.869440731703133</v>
      </c>
      <c r="F2" s="14">
        <v>314</v>
      </c>
    </row>
    <row r="3" spans="1:6" x14ac:dyDescent="0.25">
      <c r="A3" t="s">
        <v>2</v>
      </c>
      <c r="B3" s="14" t="s">
        <v>148</v>
      </c>
      <c r="C3">
        <v>10.411764705882353</v>
      </c>
      <c r="D3">
        <v>10.803719749654201</v>
      </c>
      <c r="E3">
        <v>10.019809662110505</v>
      </c>
      <c r="F3" s="14">
        <v>177</v>
      </c>
    </row>
    <row r="4" spans="1:6" x14ac:dyDescent="0.25">
      <c r="A4" t="s">
        <v>2</v>
      </c>
      <c r="B4" s="14" t="s">
        <v>149</v>
      </c>
      <c r="C4">
        <v>8.3529411764705888</v>
      </c>
      <c r="D4">
        <v>8.668351056613421</v>
      </c>
      <c r="E4">
        <v>8.0375312963277565</v>
      </c>
      <c r="F4" s="14">
        <v>142</v>
      </c>
    </row>
    <row r="5" spans="1:6" x14ac:dyDescent="0.25">
      <c r="A5" t="s">
        <v>2</v>
      </c>
      <c r="B5" s="14" t="s">
        <v>139</v>
      </c>
      <c r="C5">
        <v>4.7647058823529411</v>
      </c>
      <c r="D5">
        <v>5.028770455786872</v>
      </c>
      <c r="E5">
        <v>4.5006413089190103</v>
      </c>
      <c r="F5" s="14">
        <v>81</v>
      </c>
    </row>
    <row r="6" spans="1:6" x14ac:dyDescent="0.25">
      <c r="A6" t="s">
        <v>2</v>
      </c>
      <c r="B6" s="14" t="s">
        <v>140</v>
      </c>
      <c r="C6">
        <v>3.4117647058823528</v>
      </c>
      <c r="D6">
        <v>3.7094932860955234</v>
      </c>
      <c r="E6">
        <v>3.1140361256691822</v>
      </c>
      <c r="F6" s="14">
        <v>58</v>
      </c>
    </row>
    <row r="7" spans="1:6" x14ac:dyDescent="0.25">
      <c r="A7" t="s">
        <v>2</v>
      </c>
      <c r="B7" s="14" t="s">
        <v>141</v>
      </c>
      <c r="C7">
        <v>3.5882352941176472</v>
      </c>
      <c r="D7">
        <v>3.8482585315121103</v>
      </c>
      <c r="E7">
        <v>3.3282120567231841</v>
      </c>
      <c r="F7" s="14">
        <v>61</v>
      </c>
    </row>
    <row r="8" spans="1:6" x14ac:dyDescent="0.25">
      <c r="A8" t="s">
        <v>2</v>
      </c>
      <c r="B8" s="14" t="s">
        <v>142</v>
      </c>
      <c r="C8">
        <v>8.5882352941176467</v>
      </c>
      <c r="D8">
        <v>8.8975913712096322</v>
      </c>
      <c r="E8">
        <v>8.2788792170256613</v>
      </c>
      <c r="F8" s="14">
        <v>146</v>
      </c>
    </row>
    <row r="9" spans="1:6" x14ac:dyDescent="0.25">
      <c r="A9" t="s">
        <v>2</v>
      </c>
      <c r="B9" s="14" t="s">
        <v>143</v>
      </c>
      <c r="C9">
        <v>5.1764705882352944</v>
      </c>
      <c r="D9">
        <v>5.4513530627115427</v>
      </c>
      <c r="E9">
        <v>4.901588113759046</v>
      </c>
      <c r="F9" s="14">
        <v>88</v>
      </c>
    </row>
    <row r="10" spans="1:6" x14ac:dyDescent="0.25">
      <c r="A10" t="s">
        <v>2</v>
      </c>
      <c r="B10" s="14" t="s">
        <v>161</v>
      </c>
      <c r="C10">
        <v>4.8235294117647056</v>
      </c>
      <c r="D10">
        <v>5.1823284591596304</v>
      </c>
      <c r="E10">
        <v>4.4647303643697809</v>
      </c>
      <c r="F10" s="14">
        <v>82</v>
      </c>
    </row>
    <row r="11" spans="1:6" x14ac:dyDescent="0.25">
      <c r="A11" t="s">
        <v>2</v>
      </c>
      <c r="B11" s="14" t="s">
        <v>103</v>
      </c>
      <c r="C11">
        <v>1.2941176470588236</v>
      </c>
      <c r="D11">
        <v>1.5188768291920476</v>
      </c>
      <c r="E11">
        <v>1.0693584649255996</v>
      </c>
      <c r="F11" s="14">
        <v>22</v>
      </c>
    </row>
    <row r="12" spans="1:6" x14ac:dyDescent="0.25">
      <c r="A12" t="s">
        <v>3</v>
      </c>
      <c r="B12" s="14">
        <v>0</v>
      </c>
      <c r="C12">
        <v>14.705882352941176</v>
      </c>
      <c r="D12">
        <v>15.208022742296041</v>
      </c>
      <c r="E12">
        <v>14.20374196358631</v>
      </c>
      <c r="F12" s="14">
        <v>250</v>
      </c>
    </row>
    <row r="13" spans="1:6" x14ac:dyDescent="0.25">
      <c r="A13" t="s">
        <v>3</v>
      </c>
      <c r="B13" s="14" t="s">
        <v>148</v>
      </c>
      <c r="C13">
        <v>8.1764705882352935</v>
      </c>
      <c r="D13">
        <v>8.5072949577455965</v>
      </c>
      <c r="E13">
        <v>7.8456462187249905</v>
      </c>
      <c r="F13" s="14">
        <v>139</v>
      </c>
    </row>
    <row r="14" spans="1:6" x14ac:dyDescent="0.25">
      <c r="A14" t="s">
        <v>3</v>
      </c>
      <c r="B14" s="14" t="s">
        <v>149</v>
      </c>
      <c r="C14">
        <v>5.3529411764705879</v>
      </c>
      <c r="D14">
        <v>5.6240214972287843</v>
      </c>
      <c r="E14">
        <v>5.0818608557123914</v>
      </c>
      <c r="F14" s="14">
        <v>91</v>
      </c>
    </row>
    <row r="15" spans="1:6" x14ac:dyDescent="0.25">
      <c r="A15" t="s">
        <v>3</v>
      </c>
      <c r="B15" s="14" t="s">
        <v>139</v>
      </c>
      <c r="C15">
        <v>2.5294117647058822</v>
      </c>
      <c r="D15">
        <v>2.7889498621472759</v>
      </c>
      <c r="E15">
        <v>2.2698736672644886</v>
      </c>
      <c r="F15" s="14">
        <v>43</v>
      </c>
    </row>
    <row r="16" spans="1:6" x14ac:dyDescent="0.25">
      <c r="A16" t="s">
        <v>3</v>
      </c>
      <c r="B16" s="14" t="s">
        <v>140</v>
      </c>
      <c r="C16">
        <v>2.5294117647058822</v>
      </c>
      <c r="D16">
        <v>2.7841089021678602</v>
      </c>
      <c r="E16">
        <v>2.2747146272439043</v>
      </c>
      <c r="F16" s="14">
        <v>43</v>
      </c>
    </row>
    <row r="17" spans="1:6" x14ac:dyDescent="0.25">
      <c r="A17" t="s">
        <v>3</v>
      </c>
      <c r="B17" s="14" t="s">
        <v>141</v>
      </c>
      <c r="C17">
        <v>2.6470588235294117</v>
      </c>
      <c r="D17">
        <v>2.935479307478766</v>
      </c>
      <c r="E17">
        <v>2.3586383395800574</v>
      </c>
      <c r="F17" s="14">
        <v>45</v>
      </c>
    </row>
    <row r="18" spans="1:6" x14ac:dyDescent="0.25">
      <c r="A18" t="s">
        <v>3</v>
      </c>
      <c r="B18" s="14" t="s">
        <v>142</v>
      </c>
      <c r="C18">
        <v>4.117647058823529</v>
      </c>
      <c r="D18">
        <v>4.375387553938876</v>
      </c>
      <c r="E18">
        <v>3.8599065637081815</v>
      </c>
      <c r="F18" s="14">
        <v>70</v>
      </c>
    </row>
    <row r="19" spans="1:6" x14ac:dyDescent="0.25">
      <c r="A19" t="s">
        <v>3</v>
      </c>
      <c r="B19" s="14" t="s">
        <v>143</v>
      </c>
      <c r="C19">
        <v>2</v>
      </c>
      <c r="D19">
        <v>2.1818176668085529</v>
      </c>
      <c r="E19">
        <v>1.8181823331914471</v>
      </c>
      <c r="F19" s="14">
        <v>34</v>
      </c>
    </row>
    <row r="20" spans="1:6" x14ac:dyDescent="0.25">
      <c r="A20" t="s">
        <v>3</v>
      </c>
      <c r="B20" s="14" t="s">
        <v>161</v>
      </c>
      <c r="C20">
        <v>2.6470588235294117</v>
      </c>
      <c r="D20">
        <v>2.8956098297814363</v>
      </c>
      <c r="E20">
        <v>2.398507817277387</v>
      </c>
      <c r="F20" s="14">
        <v>45</v>
      </c>
    </row>
    <row r="21" spans="1:6" x14ac:dyDescent="0.25">
      <c r="A21" t="s">
        <v>3</v>
      </c>
      <c r="B21" s="14" t="s">
        <v>103</v>
      </c>
      <c r="C21">
        <v>1.1176470588235294</v>
      </c>
      <c r="D21">
        <v>1.3006003873102063</v>
      </c>
      <c r="E21">
        <v>0.93469373033685244</v>
      </c>
      <c r="F21" s="1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Chi-squared</vt:lpstr>
      <vt:lpstr>Tunnels_data</vt:lpstr>
      <vt:lpstr>Grasstree_data</vt:lpstr>
      <vt:lpstr>Gt_ggplot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Mansfield</dc:creator>
  <cp:lastModifiedBy>Tom Mansfield</cp:lastModifiedBy>
  <dcterms:created xsi:type="dcterms:W3CDTF">2022-06-07T07:20:34Z</dcterms:created>
  <dcterms:modified xsi:type="dcterms:W3CDTF">2023-11-02T06:14:02Z</dcterms:modified>
</cp:coreProperties>
</file>